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329C249B-E4D2-48AE-BB4C-E775EDFDC1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lease#5" sheetId="1" r:id="rId1"/>
    <sheet name="Release#4" sheetId="2" r:id="rId2"/>
    <sheet name="Release#3" sheetId="3" r:id="rId3"/>
    <sheet name="Release#2" sheetId="4" r:id="rId4"/>
    <sheet name="Release#1" sheetId="5" r:id="rId5"/>
  </sheets>
  <calcPr calcId="191029"/>
  <pivotCaches>
    <pivotCache cacheId="7" r:id="rId6"/>
    <pivotCache cacheId="11" r:id="rId7"/>
    <pivotCache cacheId="15" r:id="rId8"/>
    <pivotCache cacheId="2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4unCIIpwyisVbqn/ae8QILcMVrVm86O4RhvB+9VwbHI="/>
    </ext>
  </extLst>
</workbook>
</file>

<file path=xl/calcChain.xml><?xml version="1.0" encoding="utf-8"?>
<calcChain xmlns="http://schemas.openxmlformats.org/spreadsheetml/2006/main">
  <c r="C6" i="1" l="1"/>
  <c r="C5" i="1"/>
  <c r="B2" i="5"/>
  <c r="B3" i="5" s="1"/>
  <c r="B4" i="5" s="1"/>
  <c r="B5" i="5" s="1"/>
  <c r="B6" i="5" s="1"/>
  <c r="B7" i="5" s="1"/>
  <c r="L18" i="4"/>
  <c r="C6" i="4"/>
  <c r="C7" i="4" s="1"/>
  <c r="C8" i="4" s="1"/>
  <c r="O4" i="4"/>
  <c r="O5" i="4" s="1"/>
  <c r="O6" i="4" s="1"/>
  <c r="O7" i="4" s="1"/>
  <c r="B4" i="4"/>
  <c r="B5" i="4" s="1"/>
  <c r="B6" i="4" s="1"/>
  <c r="B7" i="4" s="1"/>
  <c r="B8" i="4" s="1"/>
  <c r="M37" i="3"/>
  <c r="L37" i="3"/>
  <c r="W36" i="3"/>
  <c r="U36" i="3"/>
  <c r="W35" i="3"/>
  <c r="U35" i="3"/>
  <c r="W34" i="3"/>
  <c r="U34" i="3"/>
  <c r="X34" i="3" s="1"/>
  <c r="W33" i="3"/>
  <c r="U33" i="3"/>
  <c r="W32" i="3"/>
  <c r="U32" i="3"/>
  <c r="W31" i="3"/>
  <c r="U31" i="3"/>
  <c r="X31" i="3" s="1"/>
  <c r="W30" i="3"/>
  <c r="U30" i="3"/>
  <c r="W29" i="3"/>
  <c r="U29" i="3"/>
  <c r="W28" i="3"/>
  <c r="U28" i="3"/>
  <c r="W27" i="3"/>
  <c r="U27" i="3"/>
  <c r="W26" i="3"/>
  <c r="U26" i="3"/>
  <c r="X26" i="3" s="1"/>
  <c r="W25" i="3"/>
  <c r="U25" i="3"/>
  <c r="W24" i="3"/>
  <c r="U24" i="3"/>
  <c r="W23" i="3"/>
  <c r="U23" i="3"/>
  <c r="W22" i="3"/>
  <c r="U22" i="3"/>
  <c r="W21" i="3"/>
  <c r="U21" i="3"/>
  <c r="W20" i="3"/>
  <c r="U20" i="3"/>
  <c r="W19" i="3"/>
  <c r="U19" i="3"/>
  <c r="W18" i="3"/>
  <c r="U18" i="3"/>
  <c r="W17" i="3"/>
  <c r="U17" i="3"/>
  <c r="W16" i="3"/>
  <c r="U16" i="3"/>
  <c r="X16" i="3" s="1"/>
  <c r="W15" i="3"/>
  <c r="U15" i="3"/>
  <c r="W14" i="3"/>
  <c r="U14" i="3"/>
  <c r="W13" i="3"/>
  <c r="U13" i="3"/>
  <c r="W12" i="3"/>
  <c r="U12" i="3"/>
  <c r="W11" i="3"/>
  <c r="U11" i="3"/>
  <c r="W10" i="3"/>
  <c r="U10" i="3"/>
  <c r="W9" i="3"/>
  <c r="U9" i="3"/>
  <c r="W8" i="3"/>
  <c r="U8" i="3"/>
  <c r="W7" i="3"/>
  <c r="U7" i="3"/>
  <c r="X7" i="3" s="1"/>
  <c r="W6" i="3"/>
  <c r="U6" i="3"/>
  <c r="W5" i="3"/>
  <c r="U5" i="3"/>
  <c r="W4" i="3"/>
  <c r="U4" i="3"/>
  <c r="W3" i="3"/>
  <c r="U3" i="3"/>
  <c r="W2" i="3"/>
  <c r="U2" i="3"/>
  <c r="X2" i="3" s="1"/>
  <c r="C2" i="3"/>
  <c r="C3" i="3" s="1"/>
  <c r="C4" i="3" s="1"/>
  <c r="C5" i="3" s="1"/>
  <c r="C6" i="3" s="1"/>
  <c r="C7" i="3" s="1"/>
  <c r="Y30" i="2"/>
  <c r="M30" i="2"/>
  <c r="L30" i="2"/>
  <c r="W29" i="2"/>
  <c r="U29" i="2"/>
  <c r="W28" i="2"/>
  <c r="U28" i="2"/>
  <c r="W27" i="2"/>
  <c r="U27" i="2"/>
  <c r="X26" i="2"/>
  <c r="W26" i="2"/>
  <c r="U26" i="2"/>
  <c r="W25" i="2"/>
  <c r="U25" i="2"/>
  <c r="W24" i="2"/>
  <c r="U24" i="2"/>
  <c r="X24" i="2" s="1"/>
  <c r="W23" i="2"/>
  <c r="U23" i="2"/>
  <c r="W22" i="2"/>
  <c r="U22" i="2"/>
  <c r="W21" i="2"/>
  <c r="U21" i="2"/>
  <c r="W20" i="2"/>
  <c r="U20" i="2"/>
  <c r="X20" i="2" s="1"/>
  <c r="W19" i="2"/>
  <c r="U19" i="2"/>
  <c r="W18" i="2"/>
  <c r="U18" i="2"/>
  <c r="W17" i="2"/>
  <c r="U17" i="2"/>
  <c r="W16" i="2"/>
  <c r="U16" i="2"/>
  <c r="W15" i="2"/>
  <c r="U15" i="2"/>
  <c r="W14" i="2"/>
  <c r="U14" i="2"/>
  <c r="X14" i="2" s="1"/>
  <c r="W13" i="2"/>
  <c r="U13" i="2"/>
  <c r="W12" i="2"/>
  <c r="W10" i="2"/>
  <c r="U10" i="2"/>
  <c r="W9" i="2"/>
  <c r="U9" i="2"/>
  <c r="W8" i="2"/>
  <c r="U8" i="2"/>
  <c r="X8" i="2" s="1"/>
  <c r="W7" i="2"/>
  <c r="U7" i="2"/>
  <c r="W6" i="2"/>
  <c r="U6" i="2"/>
  <c r="W5" i="2"/>
  <c r="U5" i="2"/>
  <c r="W4" i="2"/>
  <c r="U4" i="2"/>
  <c r="C4" i="2"/>
  <c r="C5" i="2" s="1"/>
  <c r="C6" i="2" s="1"/>
  <c r="C7" i="2" s="1"/>
  <c r="W3" i="2"/>
  <c r="U3" i="2"/>
  <c r="C3" i="2"/>
  <c r="W2" i="2"/>
  <c r="U2" i="2"/>
  <c r="X2" i="2" s="1"/>
  <c r="M38" i="1"/>
  <c r="L38" i="1"/>
  <c r="W37" i="1"/>
  <c r="U37" i="1"/>
  <c r="X37" i="1" s="1"/>
  <c r="W36" i="1"/>
  <c r="U36" i="1"/>
  <c r="W35" i="1"/>
  <c r="U35" i="1"/>
  <c r="W34" i="1"/>
  <c r="U34" i="1"/>
  <c r="W33" i="1"/>
  <c r="U33" i="1"/>
  <c r="W32" i="1"/>
  <c r="U32" i="1"/>
  <c r="W31" i="1"/>
  <c r="U31" i="1"/>
  <c r="W30" i="1"/>
  <c r="U30" i="1"/>
  <c r="W29" i="1"/>
  <c r="U29" i="1"/>
  <c r="X29" i="1" s="1"/>
  <c r="X28" i="1"/>
  <c r="W28" i="1"/>
  <c r="U28" i="1"/>
  <c r="W27" i="1"/>
  <c r="U27" i="1"/>
  <c r="W26" i="1"/>
  <c r="U26" i="1"/>
  <c r="W25" i="1"/>
  <c r="U25" i="1"/>
  <c r="W24" i="1"/>
  <c r="U24" i="1"/>
  <c r="W23" i="1"/>
  <c r="U23" i="1"/>
  <c r="W22" i="1"/>
  <c r="U22" i="1"/>
  <c r="W21" i="1"/>
  <c r="U21" i="1"/>
  <c r="X20" i="1" s="1"/>
  <c r="W20" i="1"/>
  <c r="U20" i="1"/>
  <c r="W19" i="1"/>
  <c r="U19" i="1"/>
  <c r="W18" i="1"/>
  <c r="U18" i="1"/>
  <c r="W17" i="1"/>
  <c r="U17" i="1"/>
  <c r="W16" i="1"/>
  <c r="U16" i="1"/>
  <c r="W15" i="1"/>
  <c r="U15" i="1"/>
  <c r="W14" i="1"/>
  <c r="U14" i="1"/>
  <c r="W13" i="1"/>
  <c r="U13" i="1"/>
  <c r="W12" i="1"/>
  <c r="U12" i="1"/>
  <c r="W11" i="1"/>
  <c r="U11" i="1"/>
  <c r="X11" i="1" s="1"/>
  <c r="W10" i="1"/>
  <c r="U10" i="1"/>
  <c r="W9" i="1"/>
  <c r="U9" i="1"/>
  <c r="W8" i="1"/>
  <c r="U8" i="1"/>
  <c r="W7" i="1"/>
  <c r="U7" i="1"/>
  <c r="W6" i="1"/>
  <c r="U6" i="1"/>
  <c r="W5" i="1"/>
  <c r="U5" i="1"/>
  <c r="W4" i="1"/>
  <c r="U4" i="1"/>
  <c r="W3" i="1"/>
  <c r="U3" i="1"/>
  <c r="W2" i="1"/>
  <c r="U2" i="1"/>
  <c r="X2" i="1" s="1"/>
  <c r="C2" i="1"/>
  <c r="C3" i="1" s="1"/>
  <c r="C4" i="1" s="1"/>
  <c r="B2" i="2" l="1"/>
  <c r="B3" i="2" s="1"/>
  <c r="B4" i="2" s="1"/>
  <c r="B5" i="2" s="1"/>
  <c r="B6" i="2" s="1"/>
  <c r="B7" i="2" s="1"/>
  <c r="B8" i="2" s="1"/>
  <c r="X30" i="2"/>
  <c r="X37" i="3"/>
  <c r="B2" i="3"/>
  <c r="B3" i="3" s="1"/>
  <c r="B4" i="3" s="1"/>
  <c r="B5" i="3" s="1"/>
  <c r="B6" i="3" s="1"/>
  <c r="B7" i="3" s="1"/>
  <c r="X38" i="1"/>
  <c r="B2" i="1"/>
  <c r="B3" i="1" s="1"/>
  <c r="B4" i="1" s="1"/>
  <c r="B5" i="1" s="1"/>
  <c r="B6" i="1" s="1"/>
  <c r="B7" i="1" s="1"/>
</calcChain>
</file>

<file path=xl/sharedStrings.xml><?xml version="1.0" encoding="utf-8"?>
<sst xmlns="http://schemas.openxmlformats.org/spreadsheetml/2006/main" count="855" uniqueCount="190">
  <si>
    <t>Day</t>
  </si>
  <si>
    <t>Planned</t>
  </si>
  <si>
    <t>Consumed</t>
  </si>
  <si>
    <t>Team Availability</t>
  </si>
  <si>
    <t>Deliverable</t>
  </si>
  <si>
    <t>% Completed</t>
  </si>
  <si>
    <t>Comments</t>
  </si>
  <si>
    <t>Points</t>
  </si>
  <si>
    <t>Done</t>
  </si>
  <si>
    <t>Iteam</t>
  </si>
  <si>
    <t>Comment</t>
  </si>
  <si>
    <t>Total</t>
  </si>
  <si>
    <t>Actual</t>
  </si>
  <si>
    <t>Update Product Test Cases</t>
  </si>
  <si>
    <t>El-Gohary</t>
  </si>
  <si>
    <t>Estmation for tasks</t>
  </si>
  <si>
    <t>Update Shopping Cart Test Cases</t>
  </si>
  <si>
    <t>Update User Registration Test Cases</t>
  </si>
  <si>
    <t>Fatma</t>
  </si>
  <si>
    <t>Sum of Points</t>
  </si>
  <si>
    <t>Sum of Done</t>
  </si>
  <si>
    <t>Update User Login Test Cases</t>
  </si>
  <si>
    <t>All Team</t>
  </si>
  <si>
    <t>Update Checkout Test Cases</t>
  </si>
  <si>
    <t>Ganna</t>
  </si>
  <si>
    <t>Update Admin Test Cases</t>
  </si>
  <si>
    <t>Hager</t>
  </si>
  <si>
    <t>Update Supplier Test Cases</t>
  </si>
  <si>
    <t>Update Test Cases for Profile &amp; Order History</t>
  </si>
  <si>
    <t>Run Product Test Cases</t>
  </si>
  <si>
    <t>Hazem</t>
  </si>
  <si>
    <t>Run Shopping Cart Test Cases</t>
  </si>
  <si>
    <t>Risks</t>
  </si>
  <si>
    <t>Run User Registration Test Cases</t>
  </si>
  <si>
    <t>ID</t>
  </si>
  <si>
    <t>Topic</t>
  </si>
  <si>
    <t>Probability</t>
  </si>
  <si>
    <t>Impact</t>
  </si>
  <si>
    <t>Description</t>
  </si>
  <si>
    <t>Handling</t>
  </si>
  <si>
    <t>Actions</t>
  </si>
  <si>
    <t>Run User Login Test Cases</t>
  </si>
  <si>
    <t>R01</t>
  </si>
  <si>
    <t>Resources</t>
  </si>
  <si>
    <t>high</t>
  </si>
  <si>
    <t>Team capacity reduced from 6 to 5 members</t>
  </si>
  <si>
    <t>Accept</t>
  </si>
  <si>
    <t>-</t>
  </si>
  <si>
    <t>Run Checkout Test Cases</t>
  </si>
  <si>
    <t>R02</t>
  </si>
  <si>
    <t>Medium</t>
  </si>
  <si>
    <t>One member is on medical rehabilitation; work is restricted to remote only.</t>
  </si>
  <si>
    <t>Mitigate</t>
  </si>
  <si>
    <t>Knowledge Transfer with daily online sessions and delegate critical tasks to other member</t>
  </si>
  <si>
    <t>Run Admin Test Cases</t>
  </si>
  <si>
    <t>R03</t>
  </si>
  <si>
    <t>One member is in a Rehabilitation period post-surgery; full availability is not guaranteed.</t>
  </si>
  <si>
    <t>Hiring new employees qualified</t>
  </si>
  <si>
    <t>Run Supplier Test Cases</t>
  </si>
  <si>
    <t>R04</t>
  </si>
  <si>
    <t>Technical</t>
  </si>
  <si>
    <t>Technical gaps between members and shortage</t>
  </si>
  <si>
    <t>Peer Review - Knowledge share</t>
  </si>
  <si>
    <t>Run Test Cases for Profile &amp; Order History</t>
  </si>
  <si>
    <t>R05</t>
  </si>
  <si>
    <t>Burnout due to ISTQB Exam Preparation</t>
  </si>
  <si>
    <t>Provide flexible hours</t>
  </si>
  <si>
    <t>Execution Report</t>
  </si>
  <si>
    <t>Document Bugs found in Registration</t>
  </si>
  <si>
    <t>Document Bugs found in Login</t>
  </si>
  <si>
    <t>Document Bugs found in Product List</t>
  </si>
  <si>
    <t>Document Bugs found in Cart</t>
  </si>
  <si>
    <t>Document Bugs found in Checkout</t>
  </si>
  <si>
    <t>Document Bugs found in Admin Dashboard</t>
  </si>
  <si>
    <t>Document Bugs found in Supplier Dashboard</t>
  </si>
  <si>
    <t>Document Bugs found in Profile &amp; Order History</t>
  </si>
  <si>
    <t>Fix Bugs</t>
  </si>
  <si>
    <t>Issues</t>
  </si>
  <si>
    <t>Retest Product Test Cases</t>
  </si>
  <si>
    <t>Initiator</t>
  </si>
  <si>
    <t>Retest Shopping Cart Test Cases</t>
  </si>
  <si>
    <t>I01</t>
  </si>
  <si>
    <t>Project Team</t>
  </si>
  <si>
    <t>Current team capacity is 5 members, affecting the planned velocity.</t>
  </si>
  <si>
    <t>Retest User Registration Test Cases</t>
  </si>
  <si>
    <t>I02</t>
  </si>
  <si>
    <t>one member is on medical rehabilitation; work is restricted to remote only.</t>
  </si>
  <si>
    <t>Knowledge Transfer</t>
  </si>
  <si>
    <t>Retest User Login Test Cases</t>
  </si>
  <si>
    <t>I03</t>
  </si>
  <si>
    <t>Observed technical gaps leading to slower delivery or quality issues.</t>
  </si>
  <si>
    <t>Peer Review - Knowledge share- Hiring</t>
  </si>
  <si>
    <t>Retest Checkout Test Cases</t>
  </si>
  <si>
    <t>I04</t>
  </si>
  <si>
    <t>Retest Admin Test Cases</t>
  </si>
  <si>
    <t>Retest Supplier Test Cases</t>
  </si>
  <si>
    <t>Retest Test Cases for Profile &amp; Order History</t>
  </si>
  <si>
    <t>RTM</t>
  </si>
  <si>
    <t>Sum</t>
  </si>
  <si>
    <t>Update SIQ</t>
  </si>
  <si>
    <t>Frontend — Registration</t>
  </si>
  <si>
    <t>update SIQ</t>
  </si>
  <si>
    <t>Frontend — Login</t>
  </si>
  <si>
    <t>Frontend — Customer orders</t>
  </si>
  <si>
    <t>Jana</t>
  </si>
  <si>
    <t>Backend — Choosing The Framework</t>
  </si>
  <si>
    <t>Frontend — Home</t>
  </si>
  <si>
    <t>Frontend — landing</t>
  </si>
  <si>
    <t>Frontend — Cart</t>
  </si>
  <si>
    <t>Frontend — Checkout</t>
  </si>
  <si>
    <t xml:space="preserve">Ganna &amp; Hazem </t>
  </si>
  <si>
    <t>Frontend — Admin product</t>
  </si>
  <si>
    <t>Frontend — Supplier product</t>
  </si>
  <si>
    <t>Frontend — Supplier order</t>
  </si>
  <si>
    <t>Backend — Learn Flask</t>
  </si>
  <si>
    <t>Frontend — Supplier add product</t>
  </si>
  <si>
    <t>Frontend — Profile</t>
  </si>
  <si>
    <t>Frontend — Admin customer</t>
  </si>
  <si>
    <t>Frontend — Admin add user</t>
  </si>
  <si>
    <t>Frontend — Admin supplier</t>
  </si>
  <si>
    <t>Backend — Creating Database Tables (Attributes, Relationships)</t>
  </si>
  <si>
    <t xml:space="preserve">Backend — Configure Database </t>
  </si>
  <si>
    <t>Frontend — Admin add product</t>
  </si>
  <si>
    <t>Frontend — Admin Order</t>
  </si>
  <si>
    <t>Backend — Supplier Endpoints</t>
  </si>
  <si>
    <t>Backend — Login &amp; Register Endpoints (Session Based Auth)</t>
  </si>
  <si>
    <t>Backend — Admin Endpoints</t>
  </si>
  <si>
    <t>Backend — Customers Endpoints</t>
  </si>
  <si>
    <t>Count of Deliverable</t>
  </si>
  <si>
    <t>5est+2siq</t>
  </si>
  <si>
    <t>Update CRS</t>
  </si>
  <si>
    <t>Update SRS</t>
  </si>
  <si>
    <t>7erd+1.5checkout+2git+2git</t>
  </si>
  <si>
    <t>2flow cart+2flow admin+ 3srs+1.5tc login+1.5tc register+10wireframe+3seq customer+2class+4global</t>
  </si>
  <si>
    <t>Update RTM</t>
  </si>
  <si>
    <t>10class+1.5tc cart+1.5tc product+2flow check</t>
  </si>
  <si>
    <t>ERD Diagram (Identify Entity)</t>
  </si>
  <si>
    <t>ERD Diagram (Identify Attributes)</t>
  </si>
  <si>
    <t>Customer Sequence Diagram</t>
  </si>
  <si>
    <t>Admin Sequence Diagram</t>
  </si>
  <si>
    <t>Learn Git</t>
  </si>
  <si>
    <t>Supplier Sequence Diagram</t>
  </si>
  <si>
    <t>WireFrame</t>
  </si>
  <si>
    <t>Wireframe</t>
  </si>
  <si>
    <t>Global View</t>
  </si>
  <si>
    <t>Admin Flow Chart</t>
  </si>
  <si>
    <t>Cart Flow Chart</t>
  </si>
  <si>
    <t>ERD Diagram (Relationships)</t>
  </si>
  <si>
    <t>Class Diagram (Identify Attributes)</t>
  </si>
  <si>
    <t>Draw ERD Diagram</t>
  </si>
  <si>
    <t>Class Diagram (Identify Methods)</t>
  </si>
  <si>
    <t>Class Diagram (Identify Relationships)</t>
  </si>
  <si>
    <t>Draw Class Diagram</t>
  </si>
  <si>
    <t>Registration Flow Chart</t>
  </si>
  <si>
    <t>Login Flow Chart</t>
  </si>
  <si>
    <t>Checkout Flow Chart</t>
  </si>
  <si>
    <t>Flow chart (Product flow for admin and supplier)</t>
  </si>
  <si>
    <t>Flow chart (Order management Flow for customer, supplier and admin)</t>
  </si>
  <si>
    <t>Updated CMP</t>
  </si>
  <si>
    <t>SIQ (2), CRS(1), CMP(1), Research RTM (5), Estmation(2)</t>
  </si>
  <si>
    <t>Ganna, Fatma, Hager, Elgohary</t>
  </si>
  <si>
    <t>Updated SIQ</t>
  </si>
  <si>
    <t>Updated CRS</t>
  </si>
  <si>
    <t>PD TC(2.5), Learn Git(4) - Checkout TC(2.5)</t>
  </si>
  <si>
    <t>El-Gohary, Hager, Fatma</t>
  </si>
  <si>
    <t>Updated SRS</t>
  </si>
  <si>
    <t>Hazem, Ganna</t>
  </si>
  <si>
    <t>SRS(6), Admin TC(2.5)</t>
  </si>
  <si>
    <t>Hager, Hazem</t>
  </si>
  <si>
    <t>Research for RTM</t>
  </si>
  <si>
    <t>Shopping Cart TC(2.5), User Registration(2.5)</t>
  </si>
  <si>
    <t>Login TC(2.5), Supplier TC(2.5) ,RTM(3)</t>
  </si>
  <si>
    <t>Fatma, Hager, Hazem</t>
  </si>
  <si>
    <t>Product Display Test Cases</t>
  </si>
  <si>
    <t>Shopping Cart Test Cases</t>
  </si>
  <si>
    <t>User Registration Test Cases</t>
  </si>
  <si>
    <t>User Login Test Cases</t>
  </si>
  <si>
    <t>Checkout Test Cases</t>
  </si>
  <si>
    <t>Admin management Test Cases</t>
  </si>
  <si>
    <t>Supplier management Test Cases</t>
  </si>
  <si>
    <t>SUM</t>
  </si>
  <si>
    <t>CRS</t>
  </si>
  <si>
    <t>SIQ</t>
  </si>
  <si>
    <t>Fatma, Hager, Ganna</t>
  </si>
  <si>
    <t>PMP</t>
  </si>
  <si>
    <t>Risk sheet</t>
  </si>
  <si>
    <t>SRS</t>
  </si>
  <si>
    <t>CMP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</si>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</sst>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9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28E85"/>
        <bgColor rgb="FFF28E85"/>
      </patternFill>
    </fill>
    <fill>
      <patternFill patternType="solid">
        <fgColor rgb="FF7AD592"/>
        <bgColor rgb="FF7AD592"/>
      </patternFill>
    </fill>
    <fill>
      <patternFill patternType="solid">
        <fgColor rgb="FFA6E3B6"/>
        <bgColor rgb="FFA6E3B6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/>
    <xf numFmtId="9" fontId="4" fillId="0" borderId="4" xfId="0" applyNumberFormat="1" applyFont="1" applyBorder="1" applyAlignment="1">
      <alignment horizontal="center"/>
    </xf>
    <xf numFmtId="0" fontId="3" fillId="0" borderId="0" xfId="0" applyFont="1"/>
    <xf numFmtId="0" fontId="3" fillId="0" borderId="12" xfId="0" applyFont="1" applyBorder="1"/>
    <xf numFmtId="0" fontId="3" fillId="0" borderId="2" xfId="0" applyFont="1" applyBorder="1" applyAlignment="1">
      <alignment vertical="center" wrapText="1"/>
    </xf>
    <xf numFmtId="0" fontId="3" fillId="0" borderId="19" xfId="0" applyFont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24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3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wrapText="1"/>
    </xf>
    <xf numFmtId="0" fontId="4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4" fillId="0" borderId="2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wrapText="1"/>
    </xf>
    <xf numFmtId="0" fontId="4" fillId="0" borderId="15" xfId="0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3" fillId="0" borderId="15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4" fillId="0" borderId="0" xfId="0" applyFont="1"/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horizontal="left" vertical="center"/>
    </xf>
    <xf numFmtId="9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/>
    </xf>
    <xf numFmtId="9" fontId="4" fillId="8" borderId="2" xfId="0" applyNumberFormat="1" applyFont="1" applyFill="1" applyBorder="1" applyAlignment="1">
      <alignment horizontal="center"/>
    </xf>
    <xf numFmtId="0" fontId="4" fillId="8" borderId="3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4" fillId="8" borderId="38" xfId="0" applyFont="1" applyFill="1" applyBorder="1" applyAlignment="1">
      <alignment horizontal="left" vertical="center"/>
    </xf>
    <xf numFmtId="9" fontId="4" fillId="8" borderId="38" xfId="0" applyNumberFormat="1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8" borderId="40" xfId="0" applyFont="1" applyFill="1" applyBorder="1" applyAlignment="1">
      <alignment horizontal="left" vertical="center"/>
    </xf>
    <xf numFmtId="9" fontId="4" fillId="8" borderId="4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9" fontId="4" fillId="8" borderId="2" xfId="0" applyNumberFormat="1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9" fontId="4" fillId="9" borderId="2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0" fontId="4" fillId="0" borderId="25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5" xfId="0" applyFont="1" applyBorder="1"/>
    <xf numFmtId="0" fontId="2" fillId="2" borderId="26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23" xfId="0" applyFont="1" applyBorder="1"/>
    <xf numFmtId="0" fontId="1" fillId="2" borderId="16" xfId="0" applyFont="1" applyFill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3" fillId="0" borderId="32" xfId="0" applyFont="1" applyBorder="1" applyAlignment="1">
      <alignment horizontal="center" vertical="center"/>
    </xf>
    <xf numFmtId="0" fontId="5" fillId="0" borderId="32" xfId="0" applyFont="1" applyBorder="1"/>
    <xf numFmtId="0" fontId="5" fillId="0" borderId="25" xfId="0" applyFont="1" applyBorder="1"/>
    <xf numFmtId="0" fontId="3" fillId="0" borderId="31" xfId="0" applyFont="1" applyBorder="1" applyAlignment="1">
      <alignment horizontal="center" vertical="center"/>
    </xf>
    <xf numFmtId="0" fontId="5" fillId="0" borderId="33" xfId="0" applyFont="1" applyBorder="1"/>
    <xf numFmtId="0" fontId="2" fillId="2" borderId="34" xfId="0" applyFont="1" applyFill="1" applyBorder="1" applyAlignment="1">
      <alignment horizontal="center" vertical="center" wrapText="1"/>
    </xf>
    <xf numFmtId="0" fontId="5" fillId="0" borderId="35" xfId="0" applyFont="1" applyBorder="1"/>
    <xf numFmtId="0" fontId="5" fillId="0" borderId="36" xfId="0" applyFont="1" applyBorder="1"/>
    <xf numFmtId="0" fontId="0" fillId="0" borderId="5" xfId="0" applyBorder="1"/>
    <xf numFmtId="0" fontId="0" fillId="0" borderId="5" xfId="0" pivotButton="1" applyBorder="1"/>
    <xf numFmtId="0" fontId="0" fillId="0" borderId="42" xfId="0" applyBorder="1"/>
    <xf numFmtId="0" fontId="0" fillId="0" borderId="11" xfId="0" applyBorder="1"/>
    <xf numFmtId="0" fontId="0" fillId="0" borderId="5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9" xfId="0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8" xfId="0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'Release#5'!$A$2:$A$7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'Release#5'!$B$2:$B$7</c:f>
              <c:numCache>
                <c:formatCode>General</c:formatCode>
                <c:ptCount val="6"/>
                <c:pt idx="0">
                  <c:v>17</c:v>
                </c:pt>
                <c:pt idx="1">
                  <c:v>44</c:v>
                </c:pt>
                <c:pt idx="2">
                  <c:v>70</c:v>
                </c:pt>
                <c:pt idx="3">
                  <c:v>95</c:v>
                </c:pt>
                <c:pt idx="4">
                  <c:v>119</c:v>
                </c:pt>
                <c:pt idx="5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1-49F5-91C4-8FAE9805A5EB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'Release#5'!$A$2:$A$7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'Release#5'!$C$2:$C$7</c:f>
              <c:numCache>
                <c:formatCode>General</c:formatCode>
                <c:ptCount val="6"/>
                <c:pt idx="0">
                  <c:v>14</c:v>
                </c:pt>
                <c:pt idx="1">
                  <c:v>51</c:v>
                </c:pt>
                <c:pt idx="2">
                  <c:v>70</c:v>
                </c:pt>
                <c:pt idx="3">
                  <c:v>95</c:v>
                </c:pt>
                <c:pt idx="4">
                  <c:v>119</c:v>
                </c:pt>
                <c:pt idx="5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1-49F5-91C4-8FAE9805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082699"/>
        <c:axId val="500197754"/>
      </c:lineChart>
      <c:catAx>
        <c:axId val="286082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0197754"/>
        <c:crosses val="autoZero"/>
        <c:auto val="1"/>
        <c:lblAlgn val="ctr"/>
        <c:lblOffset val="100"/>
        <c:noMultiLvlLbl val="1"/>
      </c:catAx>
      <c:valAx>
        <c:axId val="500197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60826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of Points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'Release#5'!$P$5:$P$11</c:f>
              <c:strCache>
                <c:ptCount val="7"/>
                <c:pt idx="0">
                  <c:v>Comments</c:v>
                </c:pt>
                <c:pt idx="1">
                  <c:v>All Team</c:v>
                </c:pt>
                <c:pt idx="2">
                  <c:v>El-Gohary</c:v>
                </c:pt>
                <c:pt idx="3">
                  <c:v>Fatma</c:v>
                </c:pt>
                <c:pt idx="4">
                  <c:v>Ganna</c:v>
                </c:pt>
                <c:pt idx="5">
                  <c:v>Hager</c:v>
                </c:pt>
                <c:pt idx="6">
                  <c:v>Hazem</c:v>
                </c:pt>
              </c:strCache>
            </c:strRef>
          </c:cat>
          <c:val>
            <c:numRef>
              <c:f>'Release#5'!$Q$5:$Q$11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33</c:v>
                </c:pt>
                <c:pt idx="3">
                  <c:v>15</c:v>
                </c:pt>
                <c:pt idx="4">
                  <c:v>21</c:v>
                </c:pt>
                <c:pt idx="5">
                  <c:v>27</c:v>
                </c:pt>
                <c:pt idx="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0E-4B28-AD2D-81404AD3BE0C}"/>
            </c:ext>
          </c:extLst>
        </c:ser>
        <c:ser>
          <c:idx val="1"/>
          <c:order val="1"/>
          <c:tx>
            <c:v>Sum of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'Release#5'!$P$5:$P$11</c:f>
              <c:strCache>
                <c:ptCount val="7"/>
                <c:pt idx="0">
                  <c:v>Comments</c:v>
                </c:pt>
                <c:pt idx="1">
                  <c:v>All Team</c:v>
                </c:pt>
                <c:pt idx="2">
                  <c:v>El-Gohary</c:v>
                </c:pt>
                <c:pt idx="3">
                  <c:v>Fatma</c:v>
                </c:pt>
                <c:pt idx="4">
                  <c:v>Ganna</c:v>
                </c:pt>
                <c:pt idx="5">
                  <c:v>Hager</c:v>
                </c:pt>
                <c:pt idx="6">
                  <c:v>Hazem</c:v>
                </c:pt>
              </c:strCache>
            </c:strRef>
          </c:cat>
          <c:val>
            <c:numRef>
              <c:f>'Release#5'!$R$5:$R$11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33</c:v>
                </c:pt>
                <c:pt idx="3">
                  <c:v>15</c:v>
                </c:pt>
                <c:pt idx="4">
                  <c:v>21</c:v>
                </c:pt>
                <c:pt idx="5">
                  <c:v>27</c:v>
                </c:pt>
                <c:pt idx="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A0E-4B28-AD2D-81404AD3B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0893510"/>
        <c:axId val="1630493319"/>
      </c:barChart>
      <c:catAx>
        <c:axId val="1930893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0493319"/>
        <c:crosses val="autoZero"/>
        <c:auto val="1"/>
        <c:lblAlgn val="ctr"/>
        <c:lblOffset val="100"/>
        <c:noMultiLvlLbl val="1"/>
      </c:catAx>
      <c:valAx>
        <c:axId val="1630493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08935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'Release#4'!$A$2:$A$8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'Release#4'!$B$2:$B$8</c:f>
              <c:numCache>
                <c:formatCode>General</c:formatCode>
                <c:ptCount val="7"/>
                <c:pt idx="0">
                  <c:v>18</c:v>
                </c:pt>
                <c:pt idx="1">
                  <c:v>36</c:v>
                </c:pt>
                <c:pt idx="2">
                  <c:v>51</c:v>
                </c:pt>
                <c:pt idx="3">
                  <c:v>64</c:v>
                </c:pt>
                <c:pt idx="4">
                  <c:v>78</c:v>
                </c:pt>
                <c:pt idx="5">
                  <c:v>89</c:v>
                </c:pt>
                <c:pt idx="6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0-4F7A-A53E-1875372558EF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'Release#4'!$A$2:$A$8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'Release#4'!$C$2:$C$8</c:f>
              <c:numCache>
                <c:formatCode>General</c:formatCode>
                <c:ptCount val="7"/>
                <c:pt idx="0">
                  <c:v>13</c:v>
                </c:pt>
                <c:pt idx="1">
                  <c:v>24</c:v>
                </c:pt>
                <c:pt idx="2">
                  <c:v>36</c:v>
                </c:pt>
                <c:pt idx="3">
                  <c:v>43</c:v>
                </c:pt>
                <c:pt idx="4">
                  <c:v>57</c:v>
                </c:pt>
                <c:pt idx="5">
                  <c:v>64</c:v>
                </c:pt>
                <c:pt idx="6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0-4F7A-A53E-18753725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421710"/>
        <c:axId val="1165677473"/>
      </c:lineChart>
      <c:catAx>
        <c:axId val="868421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677473"/>
        <c:crosses val="autoZero"/>
        <c:auto val="1"/>
        <c:lblAlgn val="ctr"/>
        <c:lblOffset val="100"/>
        <c:noMultiLvlLbl val="1"/>
      </c:catAx>
      <c:valAx>
        <c:axId val="1165677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8421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of Points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'Release#4'!$P$5:$P$12</c:f>
              <c:strCache>
                <c:ptCount val="8"/>
                <c:pt idx="0">
                  <c:v>Comments</c:v>
                </c:pt>
                <c:pt idx="1">
                  <c:v>El-Gohary</c:v>
                </c:pt>
                <c:pt idx="2">
                  <c:v>Fatma</c:v>
                </c:pt>
                <c:pt idx="3">
                  <c:v>Ganna</c:v>
                </c:pt>
                <c:pt idx="4">
                  <c:v>Ganna &amp; Hazem </c:v>
                </c:pt>
                <c:pt idx="5">
                  <c:v>Hager</c:v>
                </c:pt>
                <c:pt idx="6">
                  <c:v>Hazem</c:v>
                </c:pt>
                <c:pt idx="7">
                  <c:v>Jana</c:v>
                </c:pt>
              </c:strCache>
            </c:strRef>
          </c:cat>
          <c:val>
            <c:numRef>
              <c:f>'Release#4'!$Q$5:$Q$12</c:f>
              <c:numCache>
                <c:formatCode>General</c:formatCode>
                <c:ptCount val="8"/>
                <c:pt idx="0">
                  <c:v>0</c:v>
                </c:pt>
                <c:pt idx="1">
                  <c:v>4</c:v>
                </c:pt>
                <c:pt idx="2">
                  <c:v>18</c:v>
                </c:pt>
                <c:pt idx="3">
                  <c:v>16</c:v>
                </c:pt>
                <c:pt idx="4">
                  <c:v>2</c:v>
                </c:pt>
                <c:pt idx="5">
                  <c:v>17</c:v>
                </c:pt>
                <c:pt idx="6">
                  <c:v>15</c:v>
                </c:pt>
                <c:pt idx="7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C7-433F-B46A-1E71AA977138}"/>
            </c:ext>
          </c:extLst>
        </c:ser>
        <c:ser>
          <c:idx val="1"/>
          <c:order val="1"/>
          <c:tx>
            <c:v>Sum of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'Release#4'!$P$5:$P$12</c:f>
              <c:strCache>
                <c:ptCount val="8"/>
                <c:pt idx="0">
                  <c:v>Comments</c:v>
                </c:pt>
                <c:pt idx="1">
                  <c:v>El-Gohary</c:v>
                </c:pt>
                <c:pt idx="2">
                  <c:v>Fatma</c:v>
                </c:pt>
                <c:pt idx="3">
                  <c:v>Ganna</c:v>
                </c:pt>
                <c:pt idx="4">
                  <c:v>Ganna &amp; Hazem </c:v>
                </c:pt>
                <c:pt idx="5">
                  <c:v>Hager</c:v>
                </c:pt>
                <c:pt idx="6">
                  <c:v>Hazem</c:v>
                </c:pt>
                <c:pt idx="7">
                  <c:v>Jana</c:v>
                </c:pt>
              </c:strCache>
            </c:strRef>
          </c:cat>
          <c:val>
            <c:numRef>
              <c:f>'Release#4'!$R$5:$R$12</c:f>
              <c:numCache>
                <c:formatCode>General</c:formatCode>
                <c:ptCount val="8"/>
                <c:pt idx="0">
                  <c:v>0</c:v>
                </c:pt>
                <c:pt idx="1">
                  <c:v>4</c:v>
                </c:pt>
                <c:pt idx="2">
                  <c:v>18</c:v>
                </c:pt>
                <c:pt idx="3">
                  <c:v>16</c:v>
                </c:pt>
                <c:pt idx="4">
                  <c:v>2</c:v>
                </c:pt>
                <c:pt idx="5">
                  <c:v>17</c:v>
                </c:pt>
                <c:pt idx="6">
                  <c:v>15</c:v>
                </c:pt>
                <c:pt idx="7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C7-433F-B46A-1E71AA97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908038"/>
        <c:axId val="1882366358"/>
      </c:barChart>
      <c:catAx>
        <c:axId val="978908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2366358"/>
        <c:crosses val="autoZero"/>
        <c:auto val="1"/>
        <c:lblAlgn val="ctr"/>
        <c:lblOffset val="100"/>
        <c:noMultiLvlLbl val="1"/>
      </c:catAx>
      <c:valAx>
        <c:axId val="1882366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89080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'Release#3'!$B$2:$B$7</c:f>
              <c:numCache>
                <c:formatCode>General</c:formatCode>
                <c:ptCount val="6"/>
                <c:pt idx="0">
                  <c:v>13</c:v>
                </c:pt>
                <c:pt idx="1">
                  <c:v>32</c:v>
                </c:pt>
                <c:pt idx="2">
                  <c:v>60</c:v>
                </c:pt>
                <c:pt idx="3">
                  <c:v>72</c:v>
                </c:pt>
                <c:pt idx="4">
                  <c:v>86</c:v>
                </c:pt>
                <c:pt idx="5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1-4A1F-B7DE-E5DED08AE082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'Release#3'!$C$2:$C$7</c:f>
              <c:numCache>
                <c:formatCode>General</c:formatCode>
                <c:ptCount val="6"/>
                <c:pt idx="0">
                  <c:v>7</c:v>
                </c:pt>
                <c:pt idx="1">
                  <c:v>20</c:v>
                </c:pt>
                <c:pt idx="2">
                  <c:v>49</c:v>
                </c:pt>
                <c:pt idx="3">
                  <c:v>65</c:v>
                </c:pt>
                <c:pt idx="4">
                  <c:v>80</c:v>
                </c:pt>
                <c:pt idx="5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1-4A1F-B7DE-E5DED08AE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543412"/>
        <c:axId val="1013083567"/>
      </c:lineChart>
      <c:catAx>
        <c:axId val="298543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3083567"/>
        <c:crosses val="autoZero"/>
        <c:auto val="1"/>
        <c:lblAlgn val="ctr"/>
        <c:lblOffset val="100"/>
        <c:noMultiLvlLbl val="1"/>
      </c:catAx>
      <c:valAx>
        <c:axId val="1013083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85434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of Points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'Release#3'!$P$5:$P$11</c:f>
              <c:strCache>
                <c:ptCount val="7"/>
                <c:pt idx="0">
                  <c:v>Comments</c:v>
                </c:pt>
                <c:pt idx="1">
                  <c:v>El-Gohary</c:v>
                </c:pt>
                <c:pt idx="2">
                  <c:v>Fatma</c:v>
                </c:pt>
                <c:pt idx="3">
                  <c:v>Ganna</c:v>
                </c:pt>
                <c:pt idx="4">
                  <c:v>Hager</c:v>
                </c:pt>
                <c:pt idx="5">
                  <c:v>Hazem</c:v>
                </c:pt>
                <c:pt idx="6">
                  <c:v>Jana</c:v>
                </c:pt>
              </c:strCache>
            </c:strRef>
          </c:cat>
          <c:val>
            <c:numRef>
              <c:f>'Release#3'!$Q$5:$Q$11</c:f>
              <c:numCache>
                <c:formatCode>General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15</c:v>
                </c:pt>
                <c:pt idx="5">
                  <c:v>13</c:v>
                </c:pt>
                <c:pt idx="6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95-473D-B05D-9B90564F9E36}"/>
            </c:ext>
          </c:extLst>
        </c:ser>
        <c:ser>
          <c:idx val="1"/>
          <c:order val="1"/>
          <c:tx>
            <c:v>Sum of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'Release#3'!$P$5:$P$11</c:f>
              <c:strCache>
                <c:ptCount val="7"/>
                <c:pt idx="0">
                  <c:v>Comments</c:v>
                </c:pt>
                <c:pt idx="1">
                  <c:v>El-Gohary</c:v>
                </c:pt>
                <c:pt idx="2">
                  <c:v>Fatma</c:v>
                </c:pt>
                <c:pt idx="3">
                  <c:v>Ganna</c:v>
                </c:pt>
                <c:pt idx="4">
                  <c:v>Hager</c:v>
                </c:pt>
                <c:pt idx="5">
                  <c:v>Hazem</c:v>
                </c:pt>
                <c:pt idx="6">
                  <c:v>Jana</c:v>
                </c:pt>
              </c:strCache>
            </c:strRef>
          </c:cat>
          <c:val>
            <c:numRef>
              <c:f>'Release#3'!$R$5:$R$11</c:f>
              <c:numCache>
                <c:formatCode>General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18</c:v>
                </c:pt>
                <c:pt idx="4">
                  <c:v>15</c:v>
                </c:pt>
                <c:pt idx="5">
                  <c:v>13</c:v>
                </c:pt>
                <c:pt idx="6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95-473D-B05D-9B90564F9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68197"/>
        <c:axId val="2014970566"/>
      </c:barChart>
      <c:catAx>
        <c:axId val="335268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4970566"/>
        <c:crosses val="autoZero"/>
        <c:auto val="1"/>
        <c:lblAlgn val="ctr"/>
        <c:lblOffset val="100"/>
        <c:noMultiLvlLbl val="1"/>
      </c:catAx>
      <c:valAx>
        <c:axId val="2014970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52681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'Release#2'!$A$2:$A$7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'Release#2'!$B$2:$B$8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20</c:v>
                </c:pt>
                <c:pt idx="3">
                  <c:v>28.5</c:v>
                </c:pt>
                <c:pt idx="4">
                  <c:v>33.5</c:v>
                </c:pt>
                <c:pt idx="5">
                  <c:v>36.5</c:v>
                </c:pt>
                <c:pt idx="6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65-4FED-84F9-7AC00232FCF9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'Release#2'!$A$2:$A$7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'Release#2'!$C$2:$C$8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6.5</c:v>
                </c:pt>
                <c:pt idx="3">
                  <c:v>12.5</c:v>
                </c:pt>
                <c:pt idx="4">
                  <c:v>15</c:v>
                </c:pt>
                <c:pt idx="5">
                  <c:v>25</c:v>
                </c:pt>
                <c:pt idx="6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5-4FED-84F9-7AC00232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18133"/>
        <c:axId val="1125715587"/>
      </c:lineChart>
      <c:catAx>
        <c:axId val="99918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715587"/>
        <c:crosses val="autoZero"/>
        <c:auto val="1"/>
        <c:lblAlgn val="ctr"/>
        <c:lblOffset val="100"/>
        <c:noMultiLvlLbl val="1"/>
      </c:catAx>
      <c:valAx>
        <c:axId val="112571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9181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'Release#1'!$B$2:$B$7</c:f>
              <c:numCache>
                <c:formatCode>0.00</c:formatCode>
                <c:ptCount val="6"/>
                <c:pt idx="0">
                  <c:v>6.666666666666667</c:v>
                </c:pt>
                <c:pt idx="1">
                  <c:v>13.333333333333334</c:v>
                </c:pt>
                <c:pt idx="2">
                  <c:v>20</c:v>
                </c:pt>
                <c:pt idx="3">
                  <c:v>26.666666666666668</c:v>
                </c:pt>
                <c:pt idx="4">
                  <c:v>33.333333333333336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4-4733-961B-1EDAF382E018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'Release#1'!$C$2:$C$7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4-4733-961B-1EDAF382E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845427"/>
        <c:axId val="1170858225"/>
      </c:lineChart>
      <c:catAx>
        <c:axId val="214845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0858225"/>
        <c:crosses val="autoZero"/>
        <c:auto val="1"/>
        <c:lblAlgn val="ctr"/>
        <c:lblOffset val="100"/>
        <c:noMultiLvlLbl val="1"/>
      </c:catAx>
      <c:valAx>
        <c:axId val="1170858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8454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0</xdr:row>
      <xdr:rowOff>0</xdr:rowOff>
    </xdr:from>
    <xdr:ext cx="6038850" cy="2095500"/>
    <xdr:graphicFrame macro="">
      <xdr:nvGraphicFramePr>
        <xdr:cNvPr id="170891969" name="Chart 1" title="Chart">
          <a:extLst>
            <a:ext uri="{FF2B5EF4-FFF2-40B4-BE49-F238E27FC236}">
              <a16:creationId xmlns:a16="http://schemas.microsoft.com/office/drawing/2014/main" id="{00000000-0008-0000-0000-0000C19A2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85725</xdr:colOff>
      <xdr:row>12</xdr:row>
      <xdr:rowOff>95250</xdr:rowOff>
    </xdr:from>
    <xdr:ext cx="4819650" cy="3257550"/>
    <xdr:graphicFrame macro="">
      <xdr:nvGraphicFramePr>
        <xdr:cNvPr id="2020555668" name="Chart 2" title="Chart">
          <a:extLst>
            <a:ext uri="{FF2B5EF4-FFF2-40B4-BE49-F238E27FC236}">
              <a16:creationId xmlns:a16="http://schemas.microsoft.com/office/drawing/2014/main" id="{00000000-0008-0000-0000-0000943B6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0</xdr:row>
      <xdr:rowOff>0</xdr:rowOff>
    </xdr:from>
    <xdr:ext cx="6038850" cy="2095500"/>
    <xdr:graphicFrame macro="">
      <xdr:nvGraphicFramePr>
        <xdr:cNvPr id="1426232695" name="Chart 3" title="Chart">
          <a:extLst>
            <a:ext uri="{FF2B5EF4-FFF2-40B4-BE49-F238E27FC236}">
              <a16:creationId xmlns:a16="http://schemas.microsoft.com/office/drawing/2014/main" id="{00000000-0008-0000-0100-000077950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38100</xdr:colOff>
      <xdr:row>15</xdr:row>
      <xdr:rowOff>19050</xdr:rowOff>
    </xdr:from>
    <xdr:ext cx="4819650" cy="3257550"/>
    <xdr:graphicFrame macro="">
      <xdr:nvGraphicFramePr>
        <xdr:cNvPr id="1556439945" name="Chart 4" title="Chart">
          <a:extLst>
            <a:ext uri="{FF2B5EF4-FFF2-40B4-BE49-F238E27FC236}">
              <a16:creationId xmlns:a16="http://schemas.microsoft.com/office/drawing/2014/main" id="{00000000-0008-0000-0100-00008963C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4086225</xdr:colOff>
      <xdr:row>0</xdr:row>
      <xdr:rowOff>0</xdr:rowOff>
    </xdr:from>
    <xdr:ext cx="5476875" cy="1895475"/>
    <xdr:graphicFrame macro="">
      <xdr:nvGraphicFramePr>
        <xdr:cNvPr id="747247322" name="Chart 5" title="Chart">
          <a:extLst>
            <a:ext uri="{FF2B5EF4-FFF2-40B4-BE49-F238E27FC236}">
              <a16:creationId xmlns:a16="http://schemas.microsoft.com/office/drawing/2014/main" id="{00000000-0008-0000-0200-0000DA168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114300</xdr:colOff>
      <xdr:row>11</xdr:row>
      <xdr:rowOff>57150</xdr:rowOff>
    </xdr:from>
    <xdr:ext cx="5010150" cy="3257550"/>
    <xdr:graphicFrame macro="">
      <xdr:nvGraphicFramePr>
        <xdr:cNvPr id="1139208814" name="Chart 6">
          <a:extLst>
            <a:ext uri="{FF2B5EF4-FFF2-40B4-BE49-F238E27FC236}">
              <a16:creationId xmlns:a16="http://schemas.microsoft.com/office/drawing/2014/main" id="{00000000-0008-0000-0200-00006EF2E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2295525</xdr:colOff>
      <xdr:row>0</xdr:row>
      <xdr:rowOff>0</xdr:rowOff>
    </xdr:from>
    <xdr:ext cx="5476875" cy="1895475"/>
    <xdr:graphicFrame macro="">
      <xdr:nvGraphicFramePr>
        <xdr:cNvPr id="2024291461" name="Chart 7" title="Chart">
          <a:extLst>
            <a:ext uri="{FF2B5EF4-FFF2-40B4-BE49-F238E27FC236}">
              <a16:creationId xmlns:a16="http://schemas.microsoft.com/office/drawing/2014/main" id="{00000000-0008-0000-0300-0000853CA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2066925</xdr:colOff>
      <xdr:row>0</xdr:row>
      <xdr:rowOff>0</xdr:rowOff>
    </xdr:from>
    <xdr:ext cx="5715000" cy="1914525"/>
    <xdr:graphicFrame macro="">
      <xdr:nvGraphicFramePr>
        <xdr:cNvPr id="2137373506" name="Chart 8" title="Chart">
          <a:extLst>
            <a:ext uri="{FF2B5EF4-FFF2-40B4-BE49-F238E27FC236}">
              <a16:creationId xmlns:a16="http://schemas.microsoft.com/office/drawing/2014/main" id="{00000000-0008-0000-0400-000042BB6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400050</xdr:colOff>
      <xdr:row>41</xdr:row>
      <xdr:rowOff>28575</xdr:rowOff>
    </xdr:from>
    <xdr:ext cx="13896975" cy="607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158.029800578704" refreshedVersion="8" recordCount="34" xr:uid="{00000000-000A-0000-FFFF-FFFF03000000}">
  <cacheSource type="worksheet">
    <worksheetSource ref="I1:M35" sheet="Release#3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1" maxValue="1"/>
    </cacheField>
    <cacheField name="Comments" numFmtId="0">
      <sharedItems count="6">
        <s v="Fatma"/>
        <s v="Ganna"/>
        <s v="El-Gohary"/>
        <s v="Hager"/>
        <s v="Jana"/>
        <s v="Hazem"/>
      </sharedItems>
    </cacheField>
    <cacheField name="Points" numFmtId="0">
      <sharedItems containsSemiMixedTypes="0" containsString="0" containsNumber="1" minValue="1" maxValue="5"/>
    </cacheField>
    <cacheField name="Done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158.02980138889" refreshedVersion="8" recordCount="27" xr:uid="{00000000-000A-0000-FFFF-FFFF02000000}">
  <cacheSource type="worksheet">
    <worksheetSource ref="I1:K28" sheet="Release#4"/>
  </cacheSource>
  <cacheFields count="3">
    <cacheField name="Deliverable" numFmtId="0">
      <sharedItems/>
    </cacheField>
    <cacheField name="% Completed" numFmtId="9">
      <sharedItems containsSemiMixedTypes="0" containsString="0" containsNumber="1" minValue="0" maxValue="1"/>
    </cacheField>
    <cacheField name="Comments" numFmtId="0">
      <sharedItems count="7">
        <s v="El-Gohary"/>
        <s v="Hager"/>
        <s v="Jana"/>
        <s v="Fatma"/>
        <s v="Ganna &amp; Hazem "/>
        <s v="Hazem"/>
        <s v="Gan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158.029801504628" refreshedVersion="8" recordCount="27" xr:uid="{00000000-000A-0000-FFFF-FFFF01000000}">
  <cacheSource type="worksheet">
    <worksheetSource ref="I1:M28" sheet="Release#4"/>
  </cacheSource>
  <cacheFields count="5">
    <cacheField name="Deliverable" numFmtId="0">
      <sharedItems/>
    </cacheField>
    <cacheField name="% Completed" numFmtId="9">
      <sharedItems containsSemiMixedTypes="0" containsString="0" containsNumber="1" minValue="0" maxValue="1"/>
    </cacheField>
    <cacheField name="Comments" numFmtId="0">
      <sharedItems count="7">
        <s v="El-Gohary"/>
        <s v="Hager"/>
        <s v="Jana"/>
        <s v="Fatma"/>
        <s v="Ganna &amp; Hazem "/>
        <s v="Hazem"/>
        <s v="Ganna"/>
      </sharedItems>
    </cacheField>
    <cacheField name="Points" numFmtId="0">
      <sharedItems containsSemiMixedTypes="0" containsString="0" containsNumber="1" containsInteger="1" minValue="1" maxValue="7"/>
    </cacheField>
    <cacheField name="Done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158.031315277774" refreshedVersion="8" recordCount="36" xr:uid="{00000000-000A-0000-FFFF-FFFF00000000}">
  <cacheSource type="worksheet">
    <worksheetSource ref="I1:M37" sheet="Release#5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0" maxValue="1"/>
    </cacheField>
    <cacheField name="Comments" numFmtId="0">
      <sharedItems count="6">
        <s v="El-Gohary"/>
        <s v="Fatma"/>
        <s v="Ganna"/>
        <s v="Hager"/>
        <s v="Hazem"/>
        <s v="All Team"/>
      </sharedItems>
    </cacheField>
    <cacheField name="Points" numFmtId="0">
      <sharedItems containsSemiMixedTypes="0" containsString="0" containsNumber="1" containsInteger="1" minValue="1" maxValue="25"/>
    </cacheField>
    <cacheField name="Done" numFmtId="0">
      <sharedItems containsSemiMixedTypes="0" containsString="0" containsNumber="1" containsInteg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Update SIQ"/>
    <n v="1"/>
    <x v="0"/>
    <n v="2"/>
    <n v="2"/>
  </r>
  <r>
    <s v="Update CRS"/>
    <n v="1"/>
    <x v="1"/>
    <n v="2"/>
    <n v="2"/>
  </r>
  <r>
    <s v="Update SRS"/>
    <n v="1"/>
    <x v="1"/>
    <n v="3"/>
    <n v="3"/>
  </r>
  <r>
    <s v="Update RTM"/>
    <n v="1"/>
    <x v="2"/>
    <n v="3"/>
    <n v="3"/>
  </r>
  <r>
    <s v="Update Product Test Cases"/>
    <n v="1"/>
    <x v="0"/>
    <n v="2"/>
    <n v="2"/>
  </r>
  <r>
    <s v="Update Shopping Cart Test Cases"/>
    <n v="1"/>
    <x v="0"/>
    <n v="2"/>
    <n v="2"/>
  </r>
  <r>
    <s v="Update User Registration Test Cases"/>
    <n v="1"/>
    <x v="0"/>
    <n v="1.5"/>
    <n v="1.5"/>
  </r>
  <r>
    <s v="Update User Login Test Cases"/>
    <n v="1"/>
    <x v="0"/>
    <n v="1.5"/>
    <n v="1.5"/>
  </r>
  <r>
    <s v="Update Checkout Test Cases"/>
    <n v="1"/>
    <x v="3"/>
    <n v="2"/>
    <n v="2"/>
  </r>
  <r>
    <s v="Update Admin Test Cases"/>
    <n v="1"/>
    <x v="3"/>
    <n v="3"/>
    <n v="3"/>
  </r>
  <r>
    <s v="Update Supplier Test Cases"/>
    <n v="1"/>
    <x v="3"/>
    <n v="3"/>
    <n v="3"/>
  </r>
  <r>
    <s v="Customer Sequence Diagram"/>
    <n v="1"/>
    <x v="1"/>
    <n v="3"/>
    <n v="3"/>
  </r>
  <r>
    <s v="Admin Sequence Diagram"/>
    <n v="1"/>
    <x v="1"/>
    <n v="5"/>
    <n v="5"/>
  </r>
  <r>
    <s v="Supplier Sequence Diagram"/>
    <n v="1"/>
    <x v="1"/>
    <n v="5"/>
    <n v="5"/>
  </r>
  <r>
    <s v="WireFrame"/>
    <n v="1"/>
    <x v="4"/>
    <n v="5"/>
    <n v="5"/>
  </r>
  <r>
    <s v="WireFrame"/>
    <n v="1"/>
    <x v="3"/>
    <n v="5"/>
    <n v="5"/>
  </r>
  <r>
    <s v="Global View"/>
    <n v="1"/>
    <x v="4"/>
    <n v="4"/>
    <n v="4"/>
  </r>
  <r>
    <s v="ERD Diagram (Identify Entity)"/>
    <n v="1"/>
    <x v="2"/>
    <n v="2"/>
    <n v="2"/>
  </r>
  <r>
    <s v="ERD Diagram (Identify Attributes)"/>
    <n v="1"/>
    <x v="2"/>
    <n v="2"/>
    <n v="2"/>
  </r>
  <r>
    <s v="ERD Diagram (Relationships)"/>
    <n v="1"/>
    <x v="2"/>
    <n v="2"/>
    <n v="2"/>
  </r>
  <r>
    <s v="Draw ERD Diagram"/>
    <n v="1"/>
    <x v="2"/>
    <n v="1"/>
    <n v="1"/>
  </r>
  <r>
    <s v="Class Diagram (Identify Attributes)"/>
    <n v="1"/>
    <x v="5"/>
    <n v="2"/>
    <n v="2"/>
  </r>
  <r>
    <s v="Class Diagram (Identify Methods)"/>
    <n v="1"/>
    <x v="5"/>
    <n v="3"/>
    <n v="3"/>
  </r>
  <r>
    <s v="Class Diagram (Identify Relationships)"/>
    <n v="1"/>
    <x v="5"/>
    <n v="3"/>
    <n v="3"/>
  </r>
  <r>
    <s v="Draw Class Diagram"/>
    <n v="1"/>
    <x v="5"/>
    <n v="2"/>
    <n v="2"/>
  </r>
  <r>
    <s v="Registration Flow Chart"/>
    <n v="1"/>
    <x v="0"/>
    <n v="2"/>
    <n v="2"/>
  </r>
  <r>
    <s v="Login Flow Chart"/>
    <n v="1"/>
    <x v="0"/>
    <n v="1"/>
    <n v="1"/>
  </r>
  <r>
    <s v="Flow chart (Product flow for admin and supplier)"/>
    <n v="1"/>
    <x v="5"/>
    <n v="3"/>
    <n v="3"/>
  </r>
  <r>
    <s v="Cart Flow Chart"/>
    <n v="1"/>
    <x v="2"/>
    <n v="2"/>
    <n v="2"/>
  </r>
  <r>
    <s v="Checkout Flow Chart"/>
    <n v="1"/>
    <x v="4"/>
    <n v="2"/>
    <n v="2"/>
  </r>
  <r>
    <s v="Flow chart (Order management Flow for customer, supplier and admin)"/>
    <n v="1"/>
    <x v="4"/>
    <n v="3"/>
    <n v="3"/>
  </r>
  <r>
    <s v="Admin Flow Chart"/>
    <n v="1"/>
    <x v="2"/>
    <n v="2"/>
    <n v="2"/>
  </r>
  <r>
    <s v="Learn Git"/>
    <n v="1"/>
    <x v="0"/>
    <n v="2"/>
    <n v="2"/>
  </r>
  <r>
    <s v="Learn Git"/>
    <n v="1"/>
    <x v="3"/>
    <n v="2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Update SIQ"/>
    <n v="0"/>
    <x v="0"/>
  </r>
  <r>
    <s v="Frontend — Registration"/>
    <n v="1"/>
    <x v="1"/>
  </r>
  <r>
    <s v="Frontend — Login"/>
    <n v="1"/>
    <x v="1"/>
  </r>
  <r>
    <s v="Frontend — Customer orders"/>
    <n v="0"/>
    <x v="2"/>
  </r>
  <r>
    <s v="Frontend — Home"/>
    <n v="1"/>
    <x v="2"/>
  </r>
  <r>
    <s v="Frontend — Cart"/>
    <n v="0"/>
    <x v="2"/>
  </r>
  <r>
    <s v="Frontend — Checkout"/>
    <n v="0"/>
    <x v="2"/>
  </r>
  <r>
    <s v="Frontend — landing"/>
    <n v="1"/>
    <x v="2"/>
  </r>
  <r>
    <s v="Frontend — Supplier product"/>
    <n v="0.5"/>
    <x v="1"/>
  </r>
  <r>
    <s v="Frontend — Supplier order"/>
    <n v="0.5"/>
    <x v="1"/>
  </r>
  <r>
    <s v="Frontend — Supplier add product"/>
    <n v="0.5"/>
    <x v="1"/>
  </r>
  <r>
    <s v="Frontend — Profile"/>
    <n v="1"/>
    <x v="2"/>
  </r>
  <r>
    <s v="Frontend — Admin product"/>
    <n v="1"/>
    <x v="3"/>
  </r>
  <r>
    <s v="Frontend — Admin customer"/>
    <n v="1"/>
    <x v="3"/>
  </r>
  <r>
    <s v="Frontend — Admin supplier"/>
    <n v="1"/>
    <x v="3"/>
  </r>
  <r>
    <s v="Frontend — Admin add user"/>
    <n v="1"/>
    <x v="3"/>
  </r>
  <r>
    <s v="Frontend — Admin add product"/>
    <n v="1"/>
    <x v="3"/>
  </r>
  <r>
    <s v="Frontend — Admin Order"/>
    <n v="1"/>
    <x v="3"/>
  </r>
  <r>
    <s v="Backend — Choosing The Framework"/>
    <n v="1"/>
    <x v="4"/>
  </r>
  <r>
    <s v="Backend — Creating Database Tables (Attributes, Relationships)"/>
    <n v="1"/>
    <x v="5"/>
  </r>
  <r>
    <s v="Backend — Configure Database "/>
    <n v="1"/>
    <x v="6"/>
  </r>
  <r>
    <s v="Backend — Learn Flask"/>
    <n v="1"/>
    <x v="6"/>
  </r>
  <r>
    <s v="Backend — Learn Flask"/>
    <n v="1"/>
    <x v="5"/>
  </r>
  <r>
    <s v="Backend — Login &amp; Register Endpoints (Session Based Auth)"/>
    <n v="1"/>
    <x v="5"/>
  </r>
  <r>
    <s v="Backend — Admin Endpoints"/>
    <n v="1"/>
    <x v="6"/>
  </r>
  <r>
    <s v="Backend — Customers Endpoints"/>
    <n v="1"/>
    <x v="5"/>
  </r>
  <r>
    <s v="Backend — Supplier Endpoints"/>
    <n v="1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Update SIQ"/>
    <n v="0"/>
    <x v="0"/>
    <n v="4"/>
    <n v="4"/>
  </r>
  <r>
    <s v="Frontend — Registration"/>
    <n v="1"/>
    <x v="1"/>
    <n v="4"/>
    <n v="4"/>
  </r>
  <r>
    <s v="Frontend — Login"/>
    <n v="1"/>
    <x v="1"/>
    <n v="3"/>
    <n v="3"/>
  </r>
  <r>
    <s v="Frontend — Customer orders"/>
    <n v="0"/>
    <x v="2"/>
    <n v="2"/>
    <n v="2"/>
  </r>
  <r>
    <s v="Frontend — Home"/>
    <n v="1"/>
    <x v="2"/>
    <n v="2"/>
    <n v="2"/>
  </r>
  <r>
    <s v="Frontend — Cart"/>
    <n v="0"/>
    <x v="2"/>
    <n v="3"/>
    <n v="2"/>
  </r>
  <r>
    <s v="Frontend — Checkout"/>
    <n v="0"/>
    <x v="2"/>
    <n v="1"/>
    <n v="2"/>
  </r>
  <r>
    <s v="Frontend — landing"/>
    <n v="1"/>
    <x v="2"/>
    <n v="2"/>
    <n v="2"/>
  </r>
  <r>
    <s v="Frontend — Supplier product"/>
    <n v="0.5"/>
    <x v="1"/>
    <n v="4"/>
    <n v="4"/>
  </r>
  <r>
    <s v="Frontend — Supplier order"/>
    <n v="0.5"/>
    <x v="1"/>
    <n v="4"/>
    <n v="4"/>
  </r>
  <r>
    <s v="Frontend — Supplier add product"/>
    <n v="0.5"/>
    <x v="1"/>
    <n v="2"/>
    <n v="2"/>
  </r>
  <r>
    <s v="Frontend — Profile"/>
    <n v="1"/>
    <x v="2"/>
    <n v="2"/>
    <n v="2"/>
  </r>
  <r>
    <s v="Frontend — Admin product"/>
    <n v="1"/>
    <x v="3"/>
    <n v="3"/>
    <n v="3"/>
  </r>
  <r>
    <s v="Frontend — Admin customer"/>
    <n v="1"/>
    <x v="3"/>
    <n v="3"/>
    <n v="3"/>
  </r>
  <r>
    <s v="Frontend — Admin supplier"/>
    <n v="1"/>
    <x v="3"/>
    <n v="3"/>
    <n v="3"/>
  </r>
  <r>
    <s v="Frontend — Admin add user"/>
    <n v="1"/>
    <x v="3"/>
    <n v="3"/>
    <n v="3"/>
  </r>
  <r>
    <s v="Frontend — Admin add product"/>
    <n v="1"/>
    <x v="3"/>
    <n v="3"/>
    <n v="3"/>
  </r>
  <r>
    <s v="Frontend — Admin Order"/>
    <n v="1"/>
    <x v="3"/>
    <n v="3"/>
    <n v="3"/>
  </r>
  <r>
    <s v="Backend — Choosing The Framework"/>
    <n v="1"/>
    <x v="4"/>
    <n v="2"/>
    <n v="2"/>
  </r>
  <r>
    <s v="Backend — Creating Database Tables (Attributes, Relationships)"/>
    <n v="1"/>
    <x v="5"/>
    <n v="2"/>
    <n v="2"/>
  </r>
  <r>
    <s v="Backend — Configure Database "/>
    <n v="1"/>
    <x v="6"/>
    <n v="3"/>
    <n v="3"/>
  </r>
  <r>
    <s v="Backend — Learn Flask"/>
    <n v="1"/>
    <x v="6"/>
    <n v="3"/>
    <n v="3"/>
  </r>
  <r>
    <s v="Backend — Learn Flask"/>
    <n v="1"/>
    <x v="5"/>
    <n v="3"/>
    <n v="3"/>
  </r>
  <r>
    <s v="Backend — Login &amp; Register Endpoints (Session Based Auth)"/>
    <n v="1"/>
    <x v="5"/>
    <n v="3"/>
    <n v="3"/>
  </r>
  <r>
    <s v="Backend — Admin Endpoints"/>
    <n v="1"/>
    <x v="6"/>
    <n v="7"/>
    <n v="7"/>
  </r>
  <r>
    <s v="Backend — Customers Endpoints"/>
    <n v="1"/>
    <x v="5"/>
    <n v="7"/>
    <n v="7"/>
  </r>
  <r>
    <s v="Backend — Supplier Endpoints"/>
    <n v="1"/>
    <x v="6"/>
    <n v="3"/>
    <n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Update Product Test Cases"/>
    <n v="0"/>
    <x v="0"/>
    <n v="1"/>
    <n v="1"/>
  </r>
  <r>
    <s v="Update Shopping Cart Test Cases"/>
    <n v="0"/>
    <x v="0"/>
    <n v="1"/>
    <n v="1"/>
  </r>
  <r>
    <s v="Update User Registration Test Cases"/>
    <n v="0"/>
    <x v="1"/>
    <n v="1"/>
    <n v="1"/>
  </r>
  <r>
    <s v="Update User Login Test Cases"/>
    <n v="0"/>
    <x v="1"/>
    <n v="1"/>
    <n v="1"/>
  </r>
  <r>
    <s v="Update Checkout Test Cases"/>
    <n v="0"/>
    <x v="2"/>
    <n v="2"/>
    <n v="2"/>
  </r>
  <r>
    <s v="Update Admin Test Cases"/>
    <n v="0"/>
    <x v="3"/>
    <n v="3"/>
    <n v="3"/>
  </r>
  <r>
    <s v="Update Supplier Test Cases"/>
    <n v="0"/>
    <x v="2"/>
    <n v="1"/>
    <n v="1"/>
  </r>
  <r>
    <s v="Update Test Cases for Profile &amp; Order History"/>
    <n v="0"/>
    <x v="3"/>
    <n v="2"/>
    <n v="2"/>
  </r>
  <r>
    <s v="Run Product Test Cases"/>
    <n v="0"/>
    <x v="0"/>
    <n v="4"/>
    <n v="4"/>
  </r>
  <r>
    <s v="Run Shopping Cart Test Cases"/>
    <n v="0"/>
    <x v="0"/>
    <n v="4"/>
    <n v="4"/>
  </r>
  <r>
    <s v="Run User Registration Test Cases"/>
    <n v="0"/>
    <x v="1"/>
    <n v="2"/>
    <n v="2"/>
  </r>
  <r>
    <s v="Run User Login Test Cases"/>
    <n v="0"/>
    <x v="1"/>
    <n v="2"/>
    <n v="2"/>
  </r>
  <r>
    <s v="Run Checkout Test Cases"/>
    <n v="0"/>
    <x v="2"/>
    <n v="3"/>
    <n v="3"/>
  </r>
  <r>
    <s v="Run Admin Test Cases"/>
    <n v="0"/>
    <x v="3"/>
    <n v="3"/>
    <n v="3"/>
  </r>
  <r>
    <s v="Run Supplier Test Cases"/>
    <n v="0"/>
    <x v="2"/>
    <n v="3"/>
    <n v="3"/>
  </r>
  <r>
    <s v="Run Test Cases for Profile &amp; Order History"/>
    <n v="0"/>
    <x v="3"/>
    <n v="3"/>
    <n v="3"/>
  </r>
  <r>
    <s v="Execution Report"/>
    <n v="0"/>
    <x v="4"/>
    <n v="3"/>
    <n v="3"/>
  </r>
  <r>
    <s v="Document Bugs found in Registration"/>
    <n v="0"/>
    <x v="1"/>
    <n v="3"/>
    <n v="3"/>
  </r>
  <r>
    <s v="Document Bugs found in Login"/>
    <n v="0"/>
    <x v="1"/>
    <n v="2"/>
    <n v="2"/>
  </r>
  <r>
    <s v="Document Bugs found in Product List"/>
    <n v="0"/>
    <x v="0"/>
    <n v="2"/>
    <n v="2"/>
  </r>
  <r>
    <s v="Document Bugs found in Cart"/>
    <n v="0"/>
    <x v="0"/>
    <n v="3"/>
    <n v="3"/>
  </r>
  <r>
    <s v="Document Bugs found in Checkout"/>
    <n v="0"/>
    <x v="2"/>
    <n v="3"/>
    <n v="3"/>
  </r>
  <r>
    <s v="Document Bugs found in Admin Dashboard"/>
    <n v="0"/>
    <x v="3"/>
    <n v="3"/>
    <n v="3"/>
  </r>
  <r>
    <s v="Document Bugs found in Supplier Dashboard"/>
    <n v="0"/>
    <x v="2"/>
    <n v="3"/>
    <n v="3"/>
  </r>
  <r>
    <s v="Document Bugs found in Profile &amp; Order History"/>
    <n v="0"/>
    <x v="3"/>
    <n v="7"/>
    <n v="7"/>
  </r>
  <r>
    <s v="Fix Bugs"/>
    <n v="0"/>
    <x v="5"/>
    <n v="25"/>
    <n v="25"/>
  </r>
  <r>
    <s v="Retest Product Test Cases"/>
    <n v="0"/>
    <x v="0"/>
    <n v="4"/>
    <n v="4"/>
  </r>
  <r>
    <s v="Retest Shopping Cart Test Cases"/>
    <n v="0"/>
    <x v="0"/>
    <n v="4"/>
    <n v="4"/>
  </r>
  <r>
    <s v="Retest User Registration Test Cases"/>
    <n v="0"/>
    <x v="1"/>
    <n v="2"/>
    <n v="2"/>
  </r>
  <r>
    <s v="Retest User Login Test Cases"/>
    <n v="0"/>
    <x v="1"/>
    <n v="2"/>
    <n v="2"/>
  </r>
  <r>
    <s v="Retest Checkout Test Cases"/>
    <n v="0"/>
    <x v="2"/>
    <n v="3"/>
    <n v="3"/>
  </r>
  <r>
    <s v="Retest Admin Test Cases"/>
    <n v="0"/>
    <x v="3"/>
    <n v="3"/>
    <n v="3"/>
  </r>
  <r>
    <s v="Retest Supplier Test Cases"/>
    <n v="0"/>
    <x v="2"/>
    <n v="3"/>
    <n v="3"/>
  </r>
  <r>
    <s v="Retest Test Cases for Profile &amp; Order History"/>
    <n v="0"/>
    <x v="3"/>
    <n v="3"/>
    <n v="3"/>
  </r>
  <r>
    <s v="RTM"/>
    <n v="0"/>
    <x v="0"/>
    <n v="10"/>
    <n v="10"/>
  </r>
  <r>
    <s v="Estmation for tasks"/>
    <n v="1"/>
    <x v="5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elease#5" cacheId="23" applyNumberFormats="0" applyBorderFormats="0" applyFontFormats="0" applyPatternFormats="0" applyAlignmentFormats="0" applyWidthHeightFormats="0" dataCaption="" updatedVersion="8" compact="0" compactData="0">
  <location ref="P4:R12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7">
        <item x="5"/>
        <item x="0"/>
        <item x="1"/>
        <item x="2"/>
        <item x="3"/>
        <item x="4"/>
        <item t="default"/>
      </items>
    </pivotField>
    <pivotField name="Points" dataField="1" compact="0" outline="0" multipleItemSelectionAllowed="1" showAll="0"/>
    <pivotField name="Done" dataField="1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ints" fld="3" baseField="0"/>
    <dataField name="Sum of Done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Release#4" cacheId="15" applyNumberFormats="0" applyBorderFormats="0" applyFontFormats="0" applyPatternFormats="0" applyAlignmentFormats="0" applyWidthHeightFormats="0" dataCaption="" updatedVersion="8" compact="0" compactData="0">
  <location ref="P4:R13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8">
        <item x="0"/>
        <item x="3"/>
        <item x="6"/>
        <item x="4"/>
        <item x="1"/>
        <item x="5"/>
        <item x="2"/>
        <item t="default"/>
      </items>
    </pivotField>
    <pivotField name="Points" dataField="1" compact="0" outline="0" multipleItemSelectionAllowed="1" showAll="0"/>
    <pivotField name="Done" dataField="1" compact="0" outline="0" multipleItemSelectionAllowe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ints" fld="3" baseField="0"/>
    <dataField name="Sum of Done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Release#4 2" cacheId="11" applyNumberFormats="0" applyBorderFormats="0" applyFontFormats="0" applyPatternFormats="0" applyAlignmentFormats="0" applyWidthHeightFormats="0" dataCaption="" updatedVersion="8" compact="0" compactData="0">
  <location ref="L41:M49" firstHeaderRow="1" firstDataRow="1" firstDataCol="1"/>
  <pivotFields count="3">
    <pivotField name="Deliverable" dataField="1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8">
        <item x="0"/>
        <item x="3"/>
        <item x="6"/>
        <item x="4"/>
        <item x="1"/>
        <item x="5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eliverabl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Release#3" cacheId="7" applyNumberFormats="0" applyBorderFormats="0" applyFontFormats="0" applyPatternFormats="0" applyAlignmentFormats="0" applyWidthHeightFormats="0" dataCaption="" updatedVersion="8" compact="0" compactData="0">
  <location ref="P4:R12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7">
        <item x="2"/>
        <item x="0"/>
        <item x="1"/>
        <item x="3"/>
        <item x="5"/>
        <item x="4"/>
        <item t="default"/>
      </items>
    </pivotField>
    <pivotField name="Points" dataField="1" compact="0" outline="0" multipleItemSelectionAllowed="1" showAll="0"/>
    <pivotField name="Done" dataField="1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ints" fld="3" baseField="0"/>
    <dataField name="Sum of Done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topLeftCell="M1" zoomScale="70" zoomScaleNormal="70" workbookViewId="0">
      <selection activeCell="P10" sqref="P10"/>
    </sheetView>
  </sheetViews>
  <sheetFormatPr defaultColWidth="12.6640625" defaultRowHeight="15" customHeight="1" x14ac:dyDescent="0.25"/>
  <cols>
    <col min="1" max="1" width="5.77734375" customWidth="1"/>
    <col min="2" max="2" width="11.88671875" customWidth="1"/>
    <col min="3" max="3" width="11.21875" customWidth="1"/>
    <col min="4" max="4" width="15.44140625" customWidth="1"/>
    <col min="5" max="5" width="73.44140625" customWidth="1"/>
    <col min="6" max="6" width="10" customWidth="1"/>
    <col min="7" max="7" width="67.109375" customWidth="1"/>
    <col min="9" max="9" width="59.44140625" customWidth="1"/>
    <col min="10" max="10" width="12.6640625" customWidth="1"/>
    <col min="11" max="11" width="14.33203125" customWidth="1"/>
    <col min="12" max="12" width="14.88671875" customWidth="1"/>
    <col min="13" max="13" width="19.109375" customWidth="1"/>
    <col min="14" max="14" width="6.6640625" customWidth="1"/>
    <col min="15" max="15" width="6.77734375" customWidth="1"/>
    <col min="16" max="16" width="14.88671875" customWidth="1"/>
    <col min="17" max="17" width="13.33203125" customWidth="1"/>
    <col min="18" max="18" width="12.21875" customWidth="1"/>
    <col min="19" max="19" width="11.33203125" customWidth="1"/>
    <col min="20" max="20" width="8.88671875" customWidth="1"/>
    <col min="22" max="22" width="64.44140625" customWidth="1"/>
    <col min="23" max="23" width="15.44140625" customWidth="1"/>
    <col min="24" max="24" width="12.6640625" customWidth="1"/>
    <col min="25" max="25" width="12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1" t="s">
        <v>7</v>
      </c>
      <c r="M1" s="1" t="s">
        <v>8</v>
      </c>
      <c r="T1" s="3" t="s">
        <v>0</v>
      </c>
      <c r="U1" s="3" t="s">
        <v>1</v>
      </c>
      <c r="V1" s="3" t="s">
        <v>9</v>
      </c>
      <c r="W1" s="3" t="s">
        <v>10</v>
      </c>
      <c r="X1" s="4" t="s">
        <v>11</v>
      </c>
      <c r="Y1" s="4" t="s">
        <v>12</v>
      </c>
    </row>
    <row r="2" spans="1:28" ht="15.75" customHeight="1" x14ac:dyDescent="0.25">
      <c r="A2" s="5">
        <v>1</v>
      </c>
      <c r="B2" s="6">
        <f>X2</f>
        <v>17</v>
      </c>
      <c r="C2" s="7">
        <f>SUM(M2:M7)+M37</f>
        <v>14</v>
      </c>
      <c r="D2" s="8">
        <v>200</v>
      </c>
      <c r="I2" s="9" t="s">
        <v>13</v>
      </c>
      <c r="J2" s="10">
        <v>0</v>
      </c>
      <c r="K2" s="11" t="s">
        <v>14</v>
      </c>
      <c r="L2" s="12">
        <v>1</v>
      </c>
      <c r="M2" s="12">
        <v>1</v>
      </c>
      <c r="T2" s="116">
        <v>1</v>
      </c>
      <c r="U2" s="13">
        <f t="shared" ref="U2:U37" si="0">VLOOKUP(V2,$I$2:$L$37,4,FALSE)</f>
        <v>5</v>
      </c>
      <c r="V2" s="9" t="s">
        <v>15</v>
      </c>
      <c r="W2" s="14" t="str">
        <f t="shared" ref="W2:W37" si="1">VLOOKUP(V2,$I$2:$L$37,3,FALSE)</f>
        <v>All Team</v>
      </c>
      <c r="X2" s="117">
        <f>SUM(U2:U10)</f>
        <v>17</v>
      </c>
      <c r="Y2" s="15"/>
    </row>
    <row r="3" spans="1:28" ht="15.75" customHeight="1" x14ac:dyDescent="0.25">
      <c r="A3" s="5">
        <v>2</v>
      </c>
      <c r="B3" s="16">
        <f>B2+X11</f>
        <v>44</v>
      </c>
      <c r="C3" s="7">
        <f>C2+SUM(M8:M17)+SUM(M19:M22)</f>
        <v>51</v>
      </c>
      <c r="D3" s="17"/>
      <c r="I3" s="9" t="s">
        <v>16</v>
      </c>
      <c r="J3" s="10">
        <v>0</v>
      </c>
      <c r="K3" s="11" t="s">
        <v>14</v>
      </c>
      <c r="L3" s="12">
        <v>1</v>
      </c>
      <c r="M3" s="12">
        <v>1</v>
      </c>
      <c r="T3" s="113"/>
      <c r="U3" s="13">
        <f t="shared" si="0"/>
        <v>1</v>
      </c>
      <c r="V3" s="9" t="s">
        <v>13</v>
      </c>
      <c r="W3" s="14" t="str">
        <f t="shared" si="1"/>
        <v>El-Gohary</v>
      </c>
      <c r="X3" s="110"/>
      <c r="Y3" s="15"/>
    </row>
    <row r="4" spans="1:28" ht="15.75" customHeight="1" x14ac:dyDescent="0.25">
      <c r="A4" s="5">
        <v>3</v>
      </c>
      <c r="B4" s="16">
        <f>B3+X20</f>
        <v>70</v>
      </c>
      <c r="C4" s="7">
        <f>C3+SUM(M23:M26)+M18</f>
        <v>70</v>
      </c>
      <c r="D4" s="17"/>
      <c r="I4" s="18" t="s">
        <v>17</v>
      </c>
      <c r="J4" s="10">
        <v>0</v>
      </c>
      <c r="K4" s="19" t="s">
        <v>18</v>
      </c>
      <c r="L4" s="12">
        <v>1</v>
      </c>
      <c r="M4" s="12">
        <v>1</v>
      </c>
      <c r="P4" s="130"/>
      <c r="Q4" s="131" t="s">
        <v>188</v>
      </c>
      <c r="R4" s="132"/>
      <c r="T4" s="113"/>
      <c r="U4" s="13">
        <f t="shared" si="0"/>
        <v>1</v>
      </c>
      <c r="V4" s="9" t="s">
        <v>16</v>
      </c>
      <c r="W4" s="14" t="str">
        <f t="shared" si="1"/>
        <v>El-Gohary</v>
      </c>
      <c r="X4" s="110"/>
      <c r="Y4" s="15"/>
    </row>
    <row r="5" spans="1:28" ht="15.75" customHeight="1" x14ac:dyDescent="0.25">
      <c r="A5" s="5">
        <v>4</v>
      </c>
      <c r="B5" s="16">
        <f t="shared" ref="B5:B6" si="2">B4+X28</f>
        <v>95</v>
      </c>
      <c r="C5" s="7">
        <f>C4+L27</f>
        <v>95</v>
      </c>
      <c r="D5" s="17"/>
      <c r="I5" s="9" t="s">
        <v>21</v>
      </c>
      <c r="J5" s="21">
        <v>0</v>
      </c>
      <c r="K5" s="19" t="s">
        <v>18</v>
      </c>
      <c r="L5" s="12">
        <v>1</v>
      </c>
      <c r="M5" s="12">
        <v>1</v>
      </c>
      <c r="P5" s="131" t="s">
        <v>6</v>
      </c>
      <c r="Q5" s="130" t="s">
        <v>19</v>
      </c>
      <c r="R5" s="133" t="s">
        <v>20</v>
      </c>
      <c r="T5" s="113"/>
      <c r="U5" s="13">
        <f t="shared" si="0"/>
        <v>1</v>
      </c>
      <c r="V5" s="18" t="s">
        <v>17</v>
      </c>
      <c r="W5" s="14" t="str">
        <f t="shared" si="1"/>
        <v>Fatma</v>
      </c>
      <c r="X5" s="110"/>
      <c r="Y5" s="15"/>
      <c r="AB5" s="22"/>
    </row>
    <row r="6" spans="1:28" ht="15.75" customHeight="1" x14ac:dyDescent="0.25">
      <c r="A6" s="5">
        <v>5</v>
      </c>
      <c r="B6" s="16">
        <f t="shared" si="2"/>
        <v>119</v>
      </c>
      <c r="C6" s="7">
        <f>C5+SUM(L28:L35)</f>
        <v>119</v>
      </c>
      <c r="D6" s="17"/>
      <c r="I6" s="9" t="s">
        <v>23</v>
      </c>
      <c r="J6" s="21">
        <v>0</v>
      </c>
      <c r="K6" s="19" t="s">
        <v>24</v>
      </c>
      <c r="L6" s="12">
        <v>2</v>
      </c>
      <c r="M6" s="12">
        <v>2</v>
      </c>
      <c r="P6" s="130" t="s">
        <v>22</v>
      </c>
      <c r="Q6" s="134">
        <v>30</v>
      </c>
      <c r="R6" s="135">
        <v>30</v>
      </c>
      <c r="T6" s="113"/>
      <c r="U6" s="13">
        <f t="shared" si="0"/>
        <v>1</v>
      </c>
      <c r="V6" s="9" t="s">
        <v>21</v>
      </c>
      <c r="W6" s="14" t="str">
        <f t="shared" si="1"/>
        <v>Fatma</v>
      </c>
      <c r="X6" s="110"/>
      <c r="Y6" s="15"/>
    </row>
    <row r="7" spans="1:28" ht="15.75" customHeight="1" x14ac:dyDescent="0.25">
      <c r="A7" s="5">
        <v>6</v>
      </c>
      <c r="B7" s="16">
        <f>B6+X37</f>
        <v>129</v>
      </c>
      <c r="C7" s="7">
        <v>129</v>
      </c>
      <c r="D7" s="17"/>
      <c r="I7" s="9" t="s">
        <v>25</v>
      </c>
      <c r="J7" s="21">
        <v>0</v>
      </c>
      <c r="K7" s="19" t="s">
        <v>26</v>
      </c>
      <c r="L7" s="12">
        <v>3</v>
      </c>
      <c r="M7" s="12">
        <v>3</v>
      </c>
      <c r="P7" s="136" t="s">
        <v>14</v>
      </c>
      <c r="Q7" s="137">
        <v>33</v>
      </c>
      <c r="R7" s="138">
        <v>33</v>
      </c>
      <c r="T7" s="113"/>
      <c r="U7" s="13">
        <f t="shared" si="0"/>
        <v>2</v>
      </c>
      <c r="V7" s="9" t="s">
        <v>23</v>
      </c>
      <c r="W7" s="14" t="str">
        <f t="shared" si="1"/>
        <v>Ganna</v>
      </c>
      <c r="X7" s="110"/>
      <c r="Y7" s="15"/>
    </row>
    <row r="8" spans="1:28" ht="15.75" customHeight="1" x14ac:dyDescent="0.25">
      <c r="A8" s="17"/>
      <c r="B8" s="17"/>
      <c r="C8" s="17"/>
      <c r="D8" s="17"/>
      <c r="I8" s="9" t="s">
        <v>27</v>
      </c>
      <c r="J8" s="21">
        <v>0</v>
      </c>
      <c r="K8" s="19" t="s">
        <v>24</v>
      </c>
      <c r="L8" s="12">
        <v>1</v>
      </c>
      <c r="M8" s="12">
        <v>1</v>
      </c>
      <c r="P8" s="136" t="s">
        <v>18</v>
      </c>
      <c r="Q8" s="137">
        <v>15</v>
      </c>
      <c r="R8" s="138">
        <v>15</v>
      </c>
      <c r="T8" s="113"/>
      <c r="U8" s="13">
        <f t="shared" si="0"/>
        <v>3</v>
      </c>
      <c r="V8" s="9" t="s">
        <v>25</v>
      </c>
      <c r="W8" s="14" t="str">
        <f t="shared" si="1"/>
        <v>Hager</v>
      </c>
      <c r="X8" s="110"/>
      <c r="Y8" s="15"/>
    </row>
    <row r="9" spans="1:28" ht="15.75" customHeight="1" x14ac:dyDescent="0.25">
      <c r="A9" s="17"/>
      <c r="B9" s="17"/>
      <c r="C9" s="17"/>
      <c r="D9" s="17"/>
      <c r="I9" s="9" t="s">
        <v>28</v>
      </c>
      <c r="J9" s="21">
        <v>0</v>
      </c>
      <c r="K9" s="19" t="s">
        <v>26</v>
      </c>
      <c r="L9" s="12">
        <v>2</v>
      </c>
      <c r="M9" s="12">
        <v>2</v>
      </c>
      <c r="P9" s="136" t="s">
        <v>24</v>
      </c>
      <c r="Q9" s="137">
        <v>21</v>
      </c>
      <c r="R9" s="138">
        <v>21</v>
      </c>
      <c r="T9" s="113"/>
      <c r="U9" s="13">
        <f t="shared" si="0"/>
        <v>1</v>
      </c>
      <c r="V9" s="9" t="s">
        <v>27</v>
      </c>
      <c r="W9" s="14" t="str">
        <f t="shared" si="1"/>
        <v>Ganna</v>
      </c>
      <c r="X9" s="110"/>
      <c r="Y9" s="15"/>
    </row>
    <row r="10" spans="1:28" ht="15.75" customHeight="1" x14ac:dyDescent="0.25">
      <c r="A10" s="17"/>
      <c r="B10" s="17"/>
      <c r="C10" s="17"/>
      <c r="D10" s="17"/>
      <c r="I10" s="9" t="s">
        <v>29</v>
      </c>
      <c r="J10" s="21">
        <v>0</v>
      </c>
      <c r="K10" s="11" t="s">
        <v>14</v>
      </c>
      <c r="L10" s="12">
        <v>4</v>
      </c>
      <c r="M10" s="12">
        <v>4</v>
      </c>
      <c r="P10" s="136" t="s">
        <v>26</v>
      </c>
      <c r="Q10" s="137">
        <v>27</v>
      </c>
      <c r="R10" s="138">
        <v>27</v>
      </c>
      <c r="T10" s="114"/>
      <c r="U10" s="13">
        <f t="shared" si="0"/>
        <v>2</v>
      </c>
      <c r="V10" s="9" t="s">
        <v>28</v>
      </c>
      <c r="W10" s="14" t="str">
        <f t="shared" si="1"/>
        <v>Hager</v>
      </c>
      <c r="X10" s="111"/>
      <c r="Y10" s="15"/>
    </row>
    <row r="11" spans="1:28" ht="15.75" customHeight="1" x14ac:dyDescent="0.25">
      <c r="A11" s="17"/>
      <c r="B11" s="17"/>
      <c r="C11" s="17"/>
      <c r="D11" s="17"/>
      <c r="I11" s="9" t="s">
        <v>31</v>
      </c>
      <c r="J11" s="21">
        <v>0</v>
      </c>
      <c r="K11" s="11" t="s">
        <v>14</v>
      </c>
      <c r="L11" s="12">
        <v>4</v>
      </c>
      <c r="M11" s="12">
        <v>4</v>
      </c>
      <c r="P11" s="136" t="s">
        <v>30</v>
      </c>
      <c r="Q11" s="137">
        <v>3</v>
      </c>
      <c r="R11" s="138">
        <v>3</v>
      </c>
      <c r="T11" s="109">
        <v>2</v>
      </c>
      <c r="U11" s="6">
        <f t="shared" si="0"/>
        <v>4</v>
      </c>
      <c r="V11" s="9" t="s">
        <v>29</v>
      </c>
      <c r="W11" s="24" t="str">
        <f t="shared" si="1"/>
        <v>El-Gohary</v>
      </c>
      <c r="X11" s="115">
        <f>SUM(U11:U19)</f>
        <v>27</v>
      </c>
      <c r="Y11" s="15"/>
    </row>
    <row r="12" spans="1:28" ht="13.2" x14ac:dyDescent="0.25">
      <c r="A12" s="119" t="s">
        <v>32</v>
      </c>
      <c r="B12" s="120"/>
      <c r="C12" s="120"/>
      <c r="D12" s="120"/>
      <c r="E12" s="120"/>
      <c r="F12" s="120"/>
      <c r="G12" s="121"/>
      <c r="I12" s="9" t="s">
        <v>33</v>
      </c>
      <c r="J12" s="21">
        <v>0</v>
      </c>
      <c r="K12" s="19" t="s">
        <v>18</v>
      </c>
      <c r="L12" s="12">
        <v>2</v>
      </c>
      <c r="M12" s="12">
        <v>2</v>
      </c>
      <c r="P12" s="139" t="s">
        <v>189</v>
      </c>
      <c r="Q12" s="140">
        <v>129</v>
      </c>
      <c r="R12" s="141">
        <v>129</v>
      </c>
      <c r="T12" s="110"/>
      <c r="U12" s="6">
        <f t="shared" si="0"/>
        <v>4</v>
      </c>
      <c r="V12" s="9" t="s">
        <v>31</v>
      </c>
      <c r="W12" s="24" t="str">
        <f t="shared" si="1"/>
        <v>El-Gohary</v>
      </c>
      <c r="X12" s="110"/>
      <c r="Y12" s="15"/>
    </row>
    <row r="13" spans="1:28" ht="15.75" customHeight="1" x14ac:dyDescent="0.25">
      <c r="A13" s="26" t="s">
        <v>34</v>
      </c>
      <c r="B13" s="27" t="s">
        <v>35</v>
      </c>
      <c r="C13" s="27" t="s">
        <v>36</v>
      </c>
      <c r="D13" s="27" t="s">
        <v>37</v>
      </c>
      <c r="E13" s="27" t="s">
        <v>38</v>
      </c>
      <c r="F13" s="28" t="s">
        <v>39</v>
      </c>
      <c r="G13" s="27" t="s">
        <v>40</v>
      </c>
      <c r="I13" s="9" t="s">
        <v>41</v>
      </c>
      <c r="J13" s="21">
        <v>0</v>
      </c>
      <c r="K13" s="19" t="s">
        <v>18</v>
      </c>
      <c r="L13" s="12">
        <v>2</v>
      </c>
      <c r="M13" s="12">
        <v>2</v>
      </c>
      <c r="T13" s="110"/>
      <c r="U13" s="6">
        <f t="shared" si="0"/>
        <v>2</v>
      </c>
      <c r="V13" s="9" t="s">
        <v>33</v>
      </c>
      <c r="W13" s="24" t="str">
        <f t="shared" si="1"/>
        <v>Fatma</v>
      </c>
      <c r="X13" s="110"/>
      <c r="Y13" s="15"/>
    </row>
    <row r="14" spans="1:28" ht="15.75" customHeight="1" x14ac:dyDescent="0.25">
      <c r="A14" s="12" t="s">
        <v>42</v>
      </c>
      <c r="B14" s="29" t="s">
        <v>43</v>
      </c>
      <c r="C14" s="30" t="s">
        <v>44</v>
      </c>
      <c r="D14" s="30" t="s">
        <v>44</v>
      </c>
      <c r="E14" s="31" t="s">
        <v>45</v>
      </c>
      <c r="F14" s="32" t="s">
        <v>46</v>
      </c>
      <c r="G14" s="33" t="s">
        <v>47</v>
      </c>
      <c r="I14" s="9" t="s">
        <v>48</v>
      </c>
      <c r="J14" s="21">
        <v>0</v>
      </c>
      <c r="K14" s="19" t="s">
        <v>24</v>
      </c>
      <c r="L14" s="12">
        <v>3</v>
      </c>
      <c r="M14" s="12">
        <v>3</v>
      </c>
      <c r="T14" s="110"/>
      <c r="U14" s="6">
        <f t="shared" si="0"/>
        <v>2</v>
      </c>
      <c r="V14" s="9" t="s">
        <v>41</v>
      </c>
      <c r="W14" s="24" t="str">
        <f t="shared" si="1"/>
        <v>Fatma</v>
      </c>
      <c r="X14" s="110"/>
      <c r="Y14" s="15"/>
    </row>
    <row r="15" spans="1:28" ht="15.75" customHeight="1" x14ac:dyDescent="0.25">
      <c r="A15" s="12" t="s">
        <v>49</v>
      </c>
      <c r="B15" s="12" t="s">
        <v>43</v>
      </c>
      <c r="C15" s="19" t="s">
        <v>44</v>
      </c>
      <c r="D15" s="19" t="s">
        <v>50</v>
      </c>
      <c r="E15" s="34" t="s">
        <v>51</v>
      </c>
      <c r="F15" s="7" t="s">
        <v>52</v>
      </c>
      <c r="G15" s="35" t="s">
        <v>53</v>
      </c>
      <c r="I15" s="9" t="s">
        <v>54</v>
      </c>
      <c r="J15" s="21">
        <v>0</v>
      </c>
      <c r="K15" s="19" t="s">
        <v>26</v>
      </c>
      <c r="L15" s="12">
        <v>3</v>
      </c>
      <c r="M15" s="12">
        <v>3</v>
      </c>
      <c r="T15" s="110"/>
      <c r="U15" s="6">
        <f t="shared" si="0"/>
        <v>3</v>
      </c>
      <c r="V15" s="9" t="s">
        <v>48</v>
      </c>
      <c r="W15" s="24" t="str">
        <f t="shared" si="1"/>
        <v>Ganna</v>
      </c>
      <c r="X15" s="110"/>
      <c r="Y15" s="15"/>
    </row>
    <row r="16" spans="1:28" ht="15.75" customHeight="1" x14ac:dyDescent="0.25">
      <c r="A16" s="12" t="s">
        <v>55</v>
      </c>
      <c r="B16" s="12" t="s">
        <v>43</v>
      </c>
      <c r="C16" s="36" t="s">
        <v>44</v>
      </c>
      <c r="D16" s="36" t="s">
        <v>44</v>
      </c>
      <c r="E16" s="37" t="s">
        <v>56</v>
      </c>
      <c r="F16" s="38" t="s">
        <v>52</v>
      </c>
      <c r="G16" s="9" t="s">
        <v>57</v>
      </c>
      <c r="I16" s="9" t="s">
        <v>58</v>
      </c>
      <c r="J16" s="21">
        <v>0</v>
      </c>
      <c r="K16" s="19" t="s">
        <v>24</v>
      </c>
      <c r="L16" s="12">
        <v>3</v>
      </c>
      <c r="M16" s="12">
        <v>3</v>
      </c>
      <c r="T16" s="110"/>
      <c r="U16" s="6">
        <f t="shared" si="0"/>
        <v>3</v>
      </c>
      <c r="V16" s="9" t="s">
        <v>54</v>
      </c>
      <c r="W16" s="24" t="str">
        <f t="shared" si="1"/>
        <v>Hager</v>
      </c>
      <c r="X16" s="110"/>
      <c r="Y16" s="15"/>
    </row>
    <row r="17" spans="1:25" ht="15.75" customHeight="1" x14ac:dyDescent="0.25">
      <c r="A17" s="12" t="s">
        <v>59</v>
      </c>
      <c r="B17" s="33" t="s">
        <v>60</v>
      </c>
      <c r="C17" s="19" t="s">
        <v>44</v>
      </c>
      <c r="D17" s="19" t="s">
        <v>50</v>
      </c>
      <c r="E17" s="39" t="s">
        <v>61</v>
      </c>
      <c r="F17" s="19" t="s">
        <v>52</v>
      </c>
      <c r="G17" s="9" t="s">
        <v>62</v>
      </c>
      <c r="I17" s="9" t="s">
        <v>63</v>
      </c>
      <c r="J17" s="21">
        <v>0</v>
      </c>
      <c r="K17" s="19" t="s">
        <v>26</v>
      </c>
      <c r="L17" s="12">
        <v>3</v>
      </c>
      <c r="M17" s="12">
        <v>3</v>
      </c>
      <c r="T17" s="110"/>
      <c r="U17" s="6">
        <f t="shared" si="0"/>
        <v>3</v>
      </c>
      <c r="V17" s="9" t="s">
        <v>58</v>
      </c>
      <c r="W17" s="24" t="str">
        <f t="shared" si="1"/>
        <v>Ganna</v>
      </c>
      <c r="X17" s="110"/>
      <c r="Y17" s="15"/>
    </row>
    <row r="18" spans="1:25" ht="15.75" customHeight="1" x14ac:dyDescent="0.25">
      <c r="A18" s="12" t="s">
        <v>64</v>
      </c>
      <c r="B18" s="12" t="s">
        <v>43</v>
      </c>
      <c r="C18" s="40" t="s">
        <v>50</v>
      </c>
      <c r="D18" s="36" t="s">
        <v>44</v>
      </c>
      <c r="E18" s="41" t="s">
        <v>65</v>
      </c>
      <c r="F18" s="42" t="s">
        <v>52</v>
      </c>
      <c r="G18" s="43" t="s">
        <v>66</v>
      </c>
      <c r="I18" s="24" t="s">
        <v>67</v>
      </c>
      <c r="J18" s="21">
        <v>0</v>
      </c>
      <c r="K18" s="19" t="s">
        <v>30</v>
      </c>
      <c r="L18" s="12">
        <v>3</v>
      </c>
      <c r="M18" s="12">
        <v>3</v>
      </c>
      <c r="T18" s="110"/>
      <c r="U18" s="6">
        <f t="shared" si="0"/>
        <v>3</v>
      </c>
      <c r="V18" s="9" t="s">
        <v>63</v>
      </c>
      <c r="W18" s="24" t="str">
        <f t="shared" si="1"/>
        <v>Hager</v>
      </c>
      <c r="X18" s="110"/>
      <c r="Y18" s="15"/>
    </row>
    <row r="19" spans="1:25" ht="15.75" customHeight="1" x14ac:dyDescent="0.25">
      <c r="A19" s="42"/>
      <c r="B19" s="42"/>
      <c r="C19" s="42"/>
      <c r="D19" s="42"/>
      <c r="E19" s="42"/>
      <c r="F19" s="42"/>
      <c r="G19" s="42"/>
      <c r="I19" s="44" t="s">
        <v>68</v>
      </c>
      <c r="J19" s="21">
        <v>0</v>
      </c>
      <c r="K19" s="19" t="s">
        <v>18</v>
      </c>
      <c r="L19" s="12">
        <v>3</v>
      </c>
      <c r="M19" s="12">
        <v>3</v>
      </c>
      <c r="T19" s="118"/>
      <c r="U19" s="45">
        <f t="shared" si="0"/>
        <v>3</v>
      </c>
      <c r="V19" s="46" t="s">
        <v>67</v>
      </c>
      <c r="W19" s="46" t="str">
        <f t="shared" si="1"/>
        <v>Hazem</v>
      </c>
      <c r="X19" s="110"/>
      <c r="Y19" s="15"/>
    </row>
    <row r="20" spans="1:25" ht="15.75" customHeight="1" x14ac:dyDescent="0.25">
      <c r="A20" s="42"/>
      <c r="B20" s="42"/>
      <c r="C20" s="42"/>
      <c r="D20" s="42"/>
      <c r="E20" s="42"/>
      <c r="F20" s="42"/>
      <c r="G20" s="42"/>
      <c r="I20" s="44" t="s">
        <v>69</v>
      </c>
      <c r="J20" s="21">
        <v>0</v>
      </c>
      <c r="K20" s="19" t="s">
        <v>18</v>
      </c>
      <c r="L20" s="12">
        <v>2</v>
      </c>
      <c r="M20" s="12">
        <v>2</v>
      </c>
      <c r="T20" s="109">
        <v>3</v>
      </c>
      <c r="U20" s="13">
        <f t="shared" si="0"/>
        <v>3</v>
      </c>
      <c r="V20" s="44" t="s">
        <v>68</v>
      </c>
      <c r="W20" s="24" t="str">
        <f t="shared" si="1"/>
        <v>Fatma</v>
      </c>
      <c r="X20" s="117">
        <f>SUM(U20:U27)</f>
        <v>26</v>
      </c>
      <c r="Y20" s="15"/>
    </row>
    <row r="21" spans="1:25" ht="15.75" customHeight="1" x14ac:dyDescent="0.25">
      <c r="A21" s="42"/>
      <c r="B21" s="42"/>
      <c r="C21" s="42"/>
      <c r="D21" s="42"/>
      <c r="E21" s="42"/>
      <c r="F21" s="42"/>
      <c r="G21" s="42"/>
      <c r="I21" s="44" t="s">
        <v>70</v>
      </c>
      <c r="J21" s="21">
        <v>0</v>
      </c>
      <c r="K21" s="11" t="s">
        <v>14</v>
      </c>
      <c r="L21" s="12">
        <v>2</v>
      </c>
      <c r="M21" s="12">
        <v>2</v>
      </c>
      <c r="T21" s="110"/>
      <c r="U21" s="13">
        <f t="shared" si="0"/>
        <v>2</v>
      </c>
      <c r="V21" s="44" t="s">
        <v>69</v>
      </c>
      <c r="W21" s="24" t="str">
        <f t="shared" si="1"/>
        <v>Fatma</v>
      </c>
      <c r="X21" s="110"/>
      <c r="Y21" s="15"/>
    </row>
    <row r="22" spans="1:25" ht="15.75" customHeight="1" x14ac:dyDescent="0.25">
      <c r="A22" s="42"/>
      <c r="B22" s="42"/>
      <c r="C22" s="42"/>
      <c r="D22" s="42"/>
      <c r="E22" s="42"/>
      <c r="F22" s="42"/>
      <c r="G22" s="42"/>
      <c r="I22" s="44" t="s">
        <v>71</v>
      </c>
      <c r="J22" s="21">
        <v>0</v>
      </c>
      <c r="K22" s="11" t="s">
        <v>14</v>
      </c>
      <c r="L22" s="12">
        <v>3</v>
      </c>
      <c r="M22" s="12">
        <v>3</v>
      </c>
      <c r="T22" s="110"/>
      <c r="U22" s="13">
        <f t="shared" si="0"/>
        <v>2</v>
      </c>
      <c r="V22" s="44" t="s">
        <v>70</v>
      </c>
      <c r="W22" s="24" t="str">
        <f t="shared" si="1"/>
        <v>El-Gohary</v>
      </c>
      <c r="X22" s="110"/>
      <c r="Y22" s="15"/>
    </row>
    <row r="23" spans="1:25" ht="15.75" customHeight="1" x14ac:dyDescent="0.25">
      <c r="A23" s="42"/>
      <c r="B23" s="42"/>
      <c r="C23" s="42"/>
      <c r="D23" s="42"/>
      <c r="E23" s="42"/>
      <c r="F23" s="42"/>
      <c r="G23" s="42"/>
      <c r="I23" s="44" t="s">
        <v>72</v>
      </c>
      <c r="J23" s="21">
        <v>0</v>
      </c>
      <c r="K23" s="19" t="s">
        <v>24</v>
      </c>
      <c r="L23" s="12">
        <v>3</v>
      </c>
      <c r="M23" s="12">
        <v>3</v>
      </c>
      <c r="T23" s="110"/>
      <c r="U23" s="13">
        <f t="shared" si="0"/>
        <v>3</v>
      </c>
      <c r="V23" s="44" t="s">
        <v>71</v>
      </c>
      <c r="W23" s="24" t="str">
        <f t="shared" si="1"/>
        <v>El-Gohary</v>
      </c>
      <c r="X23" s="110"/>
      <c r="Y23" s="15"/>
    </row>
    <row r="24" spans="1:25" ht="15.75" customHeight="1" x14ac:dyDescent="0.25">
      <c r="A24" s="42"/>
      <c r="B24" s="42"/>
      <c r="C24" s="42"/>
      <c r="D24" s="42"/>
      <c r="E24" s="42"/>
      <c r="F24" s="42"/>
      <c r="G24" s="42"/>
      <c r="I24" s="44" t="s">
        <v>73</v>
      </c>
      <c r="J24" s="21">
        <v>0</v>
      </c>
      <c r="K24" s="19" t="s">
        <v>26</v>
      </c>
      <c r="L24" s="12">
        <v>3</v>
      </c>
      <c r="M24" s="12">
        <v>3</v>
      </c>
      <c r="T24" s="110"/>
      <c r="U24" s="13">
        <f t="shared" si="0"/>
        <v>3</v>
      </c>
      <c r="V24" s="44" t="s">
        <v>72</v>
      </c>
      <c r="W24" s="24" t="str">
        <f t="shared" si="1"/>
        <v>Ganna</v>
      </c>
      <c r="X24" s="110"/>
      <c r="Y24" s="15"/>
    </row>
    <row r="25" spans="1:25" ht="15.75" customHeight="1" x14ac:dyDescent="0.25">
      <c r="A25" s="42"/>
      <c r="B25" s="42"/>
      <c r="C25" s="42"/>
      <c r="D25" s="42"/>
      <c r="E25" s="42"/>
      <c r="F25" s="42"/>
      <c r="G25" s="42"/>
      <c r="I25" s="44" t="s">
        <v>74</v>
      </c>
      <c r="J25" s="21">
        <v>0</v>
      </c>
      <c r="K25" s="19" t="s">
        <v>24</v>
      </c>
      <c r="L25" s="12">
        <v>3</v>
      </c>
      <c r="M25" s="12">
        <v>3</v>
      </c>
      <c r="T25" s="110"/>
      <c r="U25" s="13">
        <f t="shared" si="0"/>
        <v>3</v>
      </c>
      <c r="V25" s="44" t="s">
        <v>73</v>
      </c>
      <c r="W25" s="24" t="str">
        <f t="shared" si="1"/>
        <v>Hager</v>
      </c>
      <c r="X25" s="110"/>
      <c r="Y25" s="15"/>
    </row>
    <row r="26" spans="1:25" ht="15.75" customHeight="1" x14ac:dyDescent="0.25">
      <c r="A26" s="17"/>
      <c r="B26" s="17"/>
      <c r="C26" s="17"/>
      <c r="D26" s="17"/>
      <c r="I26" s="44" t="s">
        <v>75</v>
      </c>
      <c r="J26" s="21">
        <v>0</v>
      </c>
      <c r="K26" s="19" t="s">
        <v>26</v>
      </c>
      <c r="L26" s="12">
        <v>7</v>
      </c>
      <c r="M26" s="12">
        <v>7</v>
      </c>
      <c r="T26" s="110"/>
      <c r="U26" s="13">
        <f t="shared" si="0"/>
        <v>3</v>
      </c>
      <c r="V26" s="44" t="s">
        <v>74</v>
      </c>
      <c r="W26" s="24" t="str">
        <f t="shared" si="1"/>
        <v>Ganna</v>
      </c>
      <c r="X26" s="110"/>
      <c r="Y26" s="15"/>
    </row>
    <row r="27" spans="1:25" ht="15.75" customHeight="1" x14ac:dyDescent="0.25">
      <c r="A27" s="17"/>
      <c r="B27" s="17"/>
      <c r="C27" s="17"/>
      <c r="D27" s="17"/>
      <c r="I27" s="24" t="s">
        <v>76</v>
      </c>
      <c r="J27" s="21">
        <v>0</v>
      </c>
      <c r="K27" s="12" t="s">
        <v>22</v>
      </c>
      <c r="L27" s="12">
        <v>25</v>
      </c>
      <c r="M27" s="12">
        <v>25</v>
      </c>
      <c r="T27" s="111"/>
      <c r="U27" s="13">
        <f t="shared" si="0"/>
        <v>7</v>
      </c>
      <c r="V27" s="44" t="s">
        <v>75</v>
      </c>
      <c r="W27" s="24" t="str">
        <f t="shared" si="1"/>
        <v>Hager</v>
      </c>
      <c r="X27" s="111"/>
      <c r="Y27" s="15"/>
    </row>
    <row r="28" spans="1:25" ht="15.75" customHeight="1" x14ac:dyDescent="0.25">
      <c r="A28" s="119" t="s">
        <v>77</v>
      </c>
      <c r="B28" s="120"/>
      <c r="C28" s="120"/>
      <c r="D28" s="120"/>
      <c r="E28" s="120"/>
      <c r="F28" s="120"/>
      <c r="G28" s="121"/>
      <c r="I28" s="9" t="s">
        <v>78</v>
      </c>
      <c r="J28" s="21">
        <v>0</v>
      </c>
      <c r="K28" s="11" t="s">
        <v>14</v>
      </c>
      <c r="L28" s="12">
        <v>4</v>
      </c>
      <c r="M28" s="12">
        <v>4</v>
      </c>
      <c r="T28" s="47">
        <v>4</v>
      </c>
      <c r="U28" s="48">
        <f t="shared" si="0"/>
        <v>25</v>
      </c>
      <c r="V28" s="49" t="s">
        <v>76</v>
      </c>
      <c r="W28" s="50" t="str">
        <f t="shared" si="1"/>
        <v>All Team</v>
      </c>
      <c r="X28" s="19">
        <f>U28</f>
        <v>25</v>
      </c>
      <c r="Y28" s="15"/>
    </row>
    <row r="29" spans="1:25" ht="15.75" customHeight="1" x14ac:dyDescent="0.25">
      <c r="A29" s="26" t="s">
        <v>34</v>
      </c>
      <c r="B29" s="51" t="s">
        <v>79</v>
      </c>
      <c r="C29" s="51" t="s">
        <v>36</v>
      </c>
      <c r="D29" s="51" t="s">
        <v>37</v>
      </c>
      <c r="E29" s="52" t="s">
        <v>38</v>
      </c>
      <c r="F29" s="52" t="s">
        <v>39</v>
      </c>
      <c r="G29" s="52" t="s">
        <v>40</v>
      </c>
      <c r="I29" s="9" t="s">
        <v>80</v>
      </c>
      <c r="J29" s="21">
        <v>0</v>
      </c>
      <c r="K29" s="11" t="s">
        <v>14</v>
      </c>
      <c r="L29" s="12">
        <v>4</v>
      </c>
      <c r="M29" s="12">
        <v>4</v>
      </c>
      <c r="T29" s="112">
        <v>5</v>
      </c>
      <c r="U29" s="13">
        <f t="shared" si="0"/>
        <v>4</v>
      </c>
      <c r="V29" s="9" t="s">
        <v>78</v>
      </c>
      <c r="W29" s="14" t="str">
        <f t="shared" si="1"/>
        <v>El-Gohary</v>
      </c>
      <c r="X29" s="115">
        <f>SUM(U29:U36)</f>
        <v>24</v>
      </c>
      <c r="Y29" s="15"/>
    </row>
    <row r="30" spans="1:25" ht="15.75" customHeight="1" x14ac:dyDescent="0.25">
      <c r="A30" s="19" t="s">
        <v>81</v>
      </c>
      <c r="B30" s="53" t="s">
        <v>82</v>
      </c>
      <c r="C30" s="29" t="s">
        <v>12</v>
      </c>
      <c r="D30" s="54" t="s">
        <v>44</v>
      </c>
      <c r="E30" s="55" t="s">
        <v>83</v>
      </c>
      <c r="F30" s="56" t="s">
        <v>46</v>
      </c>
      <c r="G30" s="57"/>
      <c r="I30" s="9" t="s">
        <v>84</v>
      </c>
      <c r="J30" s="21">
        <v>0</v>
      </c>
      <c r="K30" s="19" t="s">
        <v>18</v>
      </c>
      <c r="L30" s="12">
        <v>2</v>
      </c>
      <c r="M30" s="12">
        <v>2</v>
      </c>
      <c r="T30" s="113"/>
      <c r="U30" s="13">
        <f t="shared" si="0"/>
        <v>4</v>
      </c>
      <c r="V30" s="9" t="s">
        <v>80</v>
      </c>
      <c r="W30" s="14" t="str">
        <f t="shared" si="1"/>
        <v>El-Gohary</v>
      </c>
      <c r="X30" s="110"/>
      <c r="Y30" s="44"/>
    </row>
    <row r="31" spans="1:25" ht="15.75" customHeight="1" x14ac:dyDescent="0.25">
      <c r="A31" s="19" t="s">
        <v>85</v>
      </c>
      <c r="B31" s="58" t="s">
        <v>82</v>
      </c>
      <c r="C31" s="12" t="s">
        <v>12</v>
      </c>
      <c r="D31" s="19" t="s">
        <v>44</v>
      </c>
      <c r="E31" s="59" t="s">
        <v>86</v>
      </c>
      <c r="F31" s="60" t="s">
        <v>52</v>
      </c>
      <c r="G31" s="61" t="s">
        <v>87</v>
      </c>
      <c r="I31" s="9" t="s">
        <v>88</v>
      </c>
      <c r="J31" s="21">
        <v>0</v>
      </c>
      <c r="K31" s="19" t="s">
        <v>18</v>
      </c>
      <c r="L31" s="12">
        <v>2</v>
      </c>
      <c r="M31" s="12">
        <v>2</v>
      </c>
      <c r="T31" s="113"/>
      <c r="U31" s="13">
        <f t="shared" si="0"/>
        <v>2</v>
      </c>
      <c r="V31" s="9" t="s">
        <v>84</v>
      </c>
      <c r="W31" s="14" t="str">
        <f t="shared" si="1"/>
        <v>Fatma</v>
      </c>
      <c r="X31" s="110"/>
      <c r="Y31" s="44"/>
    </row>
    <row r="32" spans="1:25" ht="15.75" customHeight="1" x14ac:dyDescent="0.25">
      <c r="A32" s="19" t="s">
        <v>89</v>
      </c>
      <c r="B32" s="58" t="s">
        <v>82</v>
      </c>
      <c r="C32" s="62" t="s">
        <v>12</v>
      </c>
      <c r="D32" s="63" t="s">
        <v>50</v>
      </c>
      <c r="E32" s="64" t="s">
        <v>90</v>
      </c>
      <c r="F32" s="38" t="s">
        <v>52</v>
      </c>
      <c r="G32" s="65" t="s">
        <v>91</v>
      </c>
      <c r="I32" s="9" t="s">
        <v>92</v>
      </c>
      <c r="J32" s="21">
        <v>0</v>
      </c>
      <c r="K32" s="19" t="s">
        <v>24</v>
      </c>
      <c r="L32" s="12">
        <v>3</v>
      </c>
      <c r="M32" s="12">
        <v>3</v>
      </c>
      <c r="T32" s="113"/>
      <c r="U32" s="13">
        <f t="shared" si="0"/>
        <v>2</v>
      </c>
      <c r="V32" s="9" t="s">
        <v>88</v>
      </c>
      <c r="W32" s="14" t="str">
        <f t="shared" si="1"/>
        <v>Fatma</v>
      </c>
      <c r="X32" s="110"/>
      <c r="Y32" s="44"/>
    </row>
    <row r="33" spans="1:25" ht="15.75" customHeight="1" x14ac:dyDescent="0.25">
      <c r="A33" s="19" t="s">
        <v>93</v>
      </c>
      <c r="B33" s="58" t="s">
        <v>82</v>
      </c>
      <c r="C33" s="62" t="s">
        <v>12</v>
      </c>
      <c r="D33" s="63" t="s">
        <v>44</v>
      </c>
      <c r="E33" s="66" t="s">
        <v>65</v>
      </c>
      <c r="F33" s="38" t="s">
        <v>52</v>
      </c>
      <c r="G33" s="9" t="s">
        <v>66</v>
      </c>
      <c r="I33" s="9" t="s">
        <v>94</v>
      </c>
      <c r="J33" s="21">
        <v>0</v>
      </c>
      <c r="K33" s="19" t="s">
        <v>26</v>
      </c>
      <c r="L33" s="12">
        <v>3</v>
      </c>
      <c r="M33" s="12">
        <v>3</v>
      </c>
      <c r="T33" s="113"/>
      <c r="U33" s="13">
        <f t="shared" si="0"/>
        <v>3</v>
      </c>
      <c r="V33" s="9" t="s">
        <v>92</v>
      </c>
      <c r="W33" s="14" t="str">
        <f t="shared" si="1"/>
        <v>Ganna</v>
      </c>
      <c r="X33" s="110"/>
      <c r="Y33" s="44"/>
    </row>
    <row r="34" spans="1:25" ht="15.75" customHeight="1" x14ac:dyDescent="0.25">
      <c r="A34" s="42"/>
      <c r="B34" s="42"/>
      <c r="C34" s="33"/>
      <c r="D34" s="33"/>
      <c r="E34" s="33"/>
      <c r="F34" s="42"/>
      <c r="G34" s="43"/>
      <c r="I34" s="9" t="s">
        <v>95</v>
      </c>
      <c r="J34" s="21">
        <v>0</v>
      </c>
      <c r="K34" s="19" t="s">
        <v>24</v>
      </c>
      <c r="L34" s="12">
        <v>3</v>
      </c>
      <c r="M34" s="12">
        <v>3</v>
      </c>
      <c r="T34" s="113"/>
      <c r="U34" s="13">
        <f t="shared" si="0"/>
        <v>3</v>
      </c>
      <c r="V34" s="9" t="s">
        <v>94</v>
      </c>
      <c r="W34" s="14" t="str">
        <f t="shared" si="1"/>
        <v>Hager</v>
      </c>
      <c r="X34" s="110"/>
      <c r="Y34" s="44"/>
    </row>
    <row r="35" spans="1:25" ht="15.75" customHeight="1" x14ac:dyDescent="0.25">
      <c r="A35" s="42"/>
      <c r="B35" s="42"/>
      <c r="C35" s="42"/>
      <c r="D35" s="42"/>
      <c r="E35" s="42"/>
      <c r="F35" s="42"/>
      <c r="G35" s="42"/>
      <c r="I35" s="9" t="s">
        <v>96</v>
      </c>
      <c r="J35" s="21">
        <v>0</v>
      </c>
      <c r="K35" s="19" t="s">
        <v>26</v>
      </c>
      <c r="L35" s="12">
        <v>3</v>
      </c>
      <c r="M35" s="12">
        <v>3</v>
      </c>
      <c r="T35" s="113"/>
      <c r="U35" s="13">
        <f t="shared" si="0"/>
        <v>3</v>
      </c>
      <c r="V35" s="9" t="s">
        <v>95</v>
      </c>
      <c r="W35" s="14" t="str">
        <f t="shared" si="1"/>
        <v>Ganna</v>
      </c>
      <c r="X35" s="110"/>
      <c r="Y35" s="44"/>
    </row>
    <row r="36" spans="1:25" ht="15.75" customHeight="1" x14ac:dyDescent="0.25">
      <c r="A36" s="42"/>
      <c r="B36" s="42"/>
      <c r="C36" s="42"/>
      <c r="D36" s="42"/>
      <c r="E36" s="42"/>
      <c r="F36" s="42"/>
      <c r="G36" s="42"/>
      <c r="I36" s="49" t="s">
        <v>97</v>
      </c>
      <c r="J36" s="10">
        <v>0</v>
      </c>
      <c r="K36" s="11" t="s">
        <v>14</v>
      </c>
      <c r="L36" s="12">
        <v>10</v>
      </c>
      <c r="M36" s="12">
        <v>10</v>
      </c>
      <c r="T36" s="114"/>
      <c r="U36" s="13">
        <f t="shared" si="0"/>
        <v>3</v>
      </c>
      <c r="V36" s="9" t="s">
        <v>96</v>
      </c>
      <c r="W36" s="14" t="str">
        <f t="shared" si="1"/>
        <v>Hager</v>
      </c>
      <c r="X36" s="111"/>
      <c r="Y36" s="44"/>
    </row>
    <row r="37" spans="1:25" ht="15.75" customHeight="1" x14ac:dyDescent="0.25">
      <c r="A37" s="42"/>
      <c r="B37" s="42"/>
      <c r="C37" s="42"/>
      <c r="D37" s="42"/>
      <c r="E37" s="42"/>
      <c r="F37" s="42"/>
      <c r="G37" s="42"/>
      <c r="I37" s="9" t="s">
        <v>15</v>
      </c>
      <c r="J37" s="10">
        <v>1</v>
      </c>
      <c r="K37" s="19" t="s">
        <v>22</v>
      </c>
      <c r="L37" s="12">
        <v>5</v>
      </c>
      <c r="M37" s="12">
        <v>5</v>
      </c>
      <c r="T37" s="47">
        <v>6</v>
      </c>
      <c r="U37" s="6">
        <f t="shared" si="0"/>
        <v>10</v>
      </c>
      <c r="V37" s="49" t="s">
        <v>97</v>
      </c>
      <c r="W37" s="14" t="str">
        <f t="shared" si="1"/>
        <v>El-Gohary</v>
      </c>
      <c r="X37" s="12">
        <f>U37</f>
        <v>10</v>
      </c>
      <c r="Y37" s="44"/>
    </row>
    <row r="38" spans="1:25" ht="15.75" customHeight="1" x14ac:dyDescent="0.25">
      <c r="A38" s="42"/>
      <c r="B38" s="42"/>
      <c r="C38" s="42"/>
      <c r="D38" s="42"/>
      <c r="E38" s="42"/>
      <c r="F38" s="42"/>
      <c r="G38" s="42"/>
      <c r="K38" s="67" t="s">
        <v>98</v>
      </c>
      <c r="L38" s="12">
        <f t="shared" ref="L38:M38" si="3">SUM(L2:L37)</f>
        <v>129</v>
      </c>
      <c r="M38" s="12">
        <f t="shared" si="3"/>
        <v>129</v>
      </c>
      <c r="W38" s="68" t="s">
        <v>98</v>
      </c>
      <c r="X38" s="53">
        <f>SUM(X2:X37)</f>
        <v>129</v>
      </c>
      <c r="Y38" s="69"/>
    </row>
    <row r="39" spans="1:25" ht="15.75" customHeight="1" x14ac:dyDescent="0.25">
      <c r="A39" s="42"/>
      <c r="B39" s="42"/>
      <c r="C39" s="42"/>
      <c r="D39" s="42"/>
      <c r="E39" s="42"/>
      <c r="F39" s="42"/>
      <c r="G39" s="42"/>
    </row>
    <row r="40" spans="1:25" ht="15.75" customHeight="1" x14ac:dyDescent="0.25">
      <c r="A40" s="42"/>
      <c r="B40" s="42"/>
      <c r="C40" s="42"/>
      <c r="D40" s="42"/>
      <c r="E40" s="42"/>
      <c r="F40" s="42"/>
      <c r="G40" s="42"/>
    </row>
    <row r="41" spans="1:25" ht="15.75" customHeight="1" x14ac:dyDescent="0.25">
      <c r="A41" s="17"/>
      <c r="B41" s="17"/>
      <c r="C41" s="17"/>
      <c r="D41" s="17"/>
      <c r="L41" s="20"/>
      <c r="M41" s="70"/>
    </row>
    <row r="42" spans="1:25" ht="15.75" customHeight="1" x14ac:dyDescent="0.25">
      <c r="A42" s="17"/>
      <c r="B42" s="17"/>
      <c r="C42" s="17"/>
      <c r="D42" s="17"/>
      <c r="L42" s="20"/>
      <c r="M42" s="70"/>
    </row>
    <row r="43" spans="1:25" ht="15.75" customHeight="1" x14ac:dyDescent="0.25">
      <c r="A43" s="17"/>
      <c r="B43" s="17"/>
      <c r="C43" s="17"/>
      <c r="D43" s="17"/>
      <c r="L43" s="23"/>
      <c r="M43" s="71"/>
    </row>
    <row r="44" spans="1:25" ht="15.75" customHeight="1" x14ac:dyDescent="0.25">
      <c r="A44" s="17"/>
      <c r="B44" s="17"/>
      <c r="C44" s="17"/>
      <c r="D44" s="17"/>
      <c r="L44" s="23"/>
      <c r="M44" s="71"/>
    </row>
    <row r="45" spans="1:25" ht="15.75" customHeight="1" x14ac:dyDescent="0.25">
      <c r="A45" s="17"/>
      <c r="B45" s="17"/>
      <c r="C45" s="17"/>
      <c r="D45" s="17"/>
      <c r="L45" s="23"/>
      <c r="M45" s="71"/>
    </row>
    <row r="46" spans="1:25" ht="15.75" customHeight="1" x14ac:dyDescent="0.25">
      <c r="A46" s="17"/>
      <c r="B46" s="17"/>
      <c r="C46" s="17"/>
      <c r="D46" s="17"/>
      <c r="L46" s="23"/>
      <c r="M46" s="71"/>
    </row>
    <row r="47" spans="1:25" ht="15.75" customHeight="1" x14ac:dyDescent="0.25">
      <c r="A47" s="17"/>
      <c r="B47" s="17"/>
      <c r="C47" s="17"/>
      <c r="D47" s="17"/>
      <c r="L47" s="23"/>
      <c r="M47" s="71"/>
    </row>
    <row r="48" spans="1:25" ht="15.75" customHeight="1" x14ac:dyDescent="0.25">
      <c r="A48" s="17"/>
      <c r="B48" s="17"/>
      <c r="C48" s="17"/>
      <c r="D48" s="17"/>
      <c r="L48" s="23"/>
      <c r="M48" s="71"/>
    </row>
    <row r="49" spans="1:13" ht="15.75" customHeight="1" x14ac:dyDescent="0.25">
      <c r="A49" s="17"/>
      <c r="B49" s="17"/>
      <c r="C49" s="17"/>
      <c r="D49" s="17"/>
      <c r="L49" s="25"/>
      <c r="M49" s="72"/>
    </row>
    <row r="50" spans="1:13" ht="15.75" customHeight="1" x14ac:dyDescent="0.25">
      <c r="A50" s="17"/>
      <c r="B50" s="17"/>
      <c r="C50" s="17"/>
      <c r="D50" s="17"/>
    </row>
    <row r="51" spans="1:13" ht="15.75" customHeight="1" x14ac:dyDescent="0.25">
      <c r="A51" s="17"/>
      <c r="B51" s="17"/>
      <c r="C51" s="17"/>
      <c r="D51" s="17"/>
    </row>
    <row r="52" spans="1:13" ht="15.75" customHeight="1" x14ac:dyDescent="0.25">
      <c r="A52" s="17"/>
      <c r="B52" s="17"/>
      <c r="C52" s="17"/>
      <c r="D52" s="17"/>
    </row>
    <row r="53" spans="1:13" ht="15.75" customHeight="1" x14ac:dyDescent="0.25">
      <c r="A53" s="17"/>
      <c r="B53" s="17"/>
      <c r="C53" s="17"/>
      <c r="D53" s="17"/>
    </row>
    <row r="54" spans="1:13" ht="15.75" customHeight="1" x14ac:dyDescent="0.25">
      <c r="A54" s="17"/>
      <c r="B54" s="17"/>
      <c r="C54" s="17"/>
      <c r="D54" s="17"/>
    </row>
    <row r="55" spans="1:13" ht="15.75" customHeight="1" x14ac:dyDescent="0.25">
      <c r="A55" s="17"/>
      <c r="B55" s="17"/>
      <c r="C55" s="17"/>
      <c r="D55" s="17"/>
    </row>
    <row r="56" spans="1:13" ht="15.75" customHeight="1" x14ac:dyDescent="0.25">
      <c r="A56" s="17"/>
      <c r="B56" s="17"/>
      <c r="C56" s="17"/>
      <c r="D56" s="17"/>
    </row>
    <row r="57" spans="1:13" ht="15.75" customHeight="1" x14ac:dyDescent="0.25">
      <c r="A57" s="17"/>
      <c r="B57" s="17"/>
      <c r="C57" s="17"/>
      <c r="D57" s="17"/>
    </row>
    <row r="58" spans="1:13" ht="15.75" customHeight="1" x14ac:dyDescent="0.25">
      <c r="A58" s="17"/>
      <c r="B58" s="17"/>
      <c r="C58" s="17"/>
      <c r="D58" s="17"/>
    </row>
    <row r="59" spans="1:13" ht="15.75" customHeight="1" x14ac:dyDescent="0.25">
      <c r="A59" s="17"/>
      <c r="B59" s="17"/>
      <c r="C59" s="17"/>
      <c r="D59" s="17"/>
    </row>
    <row r="60" spans="1:13" ht="15.75" customHeight="1" x14ac:dyDescent="0.25">
      <c r="A60" s="17"/>
      <c r="B60" s="17"/>
      <c r="C60" s="17"/>
      <c r="D60" s="17"/>
    </row>
    <row r="61" spans="1:13" ht="15.75" customHeight="1" x14ac:dyDescent="0.25">
      <c r="A61" s="17"/>
      <c r="B61" s="17"/>
      <c r="C61" s="17"/>
      <c r="D61" s="17"/>
    </row>
    <row r="62" spans="1:13" ht="15.75" customHeight="1" x14ac:dyDescent="0.25">
      <c r="A62" s="17"/>
      <c r="B62" s="17"/>
      <c r="C62" s="17"/>
      <c r="D62" s="17"/>
    </row>
    <row r="63" spans="1:13" ht="15.75" customHeight="1" x14ac:dyDescent="0.25">
      <c r="A63" s="17"/>
      <c r="B63" s="17"/>
      <c r="C63" s="17"/>
      <c r="D63" s="17"/>
    </row>
    <row r="64" spans="1:13" ht="15.75" customHeight="1" x14ac:dyDescent="0.25">
      <c r="A64" s="17"/>
      <c r="B64" s="17"/>
      <c r="C64" s="17"/>
      <c r="D64" s="17"/>
    </row>
    <row r="65" spans="1:4" ht="15.75" customHeight="1" x14ac:dyDescent="0.25">
      <c r="A65" s="17"/>
      <c r="B65" s="17"/>
      <c r="C65" s="17"/>
      <c r="D65" s="17"/>
    </row>
    <row r="66" spans="1:4" ht="15.75" customHeight="1" x14ac:dyDescent="0.25">
      <c r="A66" s="17"/>
      <c r="B66" s="17"/>
      <c r="C66" s="17"/>
      <c r="D66" s="17"/>
    </row>
    <row r="67" spans="1:4" ht="15.75" customHeight="1" x14ac:dyDescent="0.25">
      <c r="A67" s="17"/>
      <c r="B67" s="17"/>
      <c r="C67" s="17"/>
      <c r="D67" s="17"/>
    </row>
    <row r="68" spans="1:4" ht="15.75" customHeight="1" x14ac:dyDescent="0.25">
      <c r="A68" s="17"/>
      <c r="B68" s="17"/>
      <c r="C68" s="17"/>
      <c r="D68" s="17"/>
    </row>
    <row r="69" spans="1:4" ht="15.75" customHeight="1" x14ac:dyDescent="0.25">
      <c r="A69" s="17"/>
      <c r="B69" s="17"/>
      <c r="C69" s="17"/>
      <c r="D69" s="17"/>
    </row>
    <row r="70" spans="1:4" ht="15.75" customHeight="1" x14ac:dyDescent="0.25">
      <c r="A70" s="17"/>
      <c r="B70" s="17"/>
      <c r="C70" s="17"/>
      <c r="D70" s="17"/>
    </row>
    <row r="71" spans="1:4" ht="15.75" customHeight="1" x14ac:dyDescent="0.25">
      <c r="A71" s="17"/>
      <c r="B71" s="17"/>
      <c r="C71" s="17"/>
      <c r="D71" s="17"/>
    </row>
    <row r="72" spans="1:4" ht="15.75" customHeight="1" x14ac:dyDescent="0.25">
      <c r="A72" s="17"/>
      <c r="B72" s="17"/>
      <c r="C72" s="17"/>
      <c r="D72" s="17"/>
    </row>
    <row r="73" spans="1:4" ht="15.75" customHeight="1" x14ac:dyDescent="0.25">
      <c r="A73" s="17"/>
      <c r="B73" s="17"/>
      <c r="C73" s="17"/>
      <c r="D73" s="17"/>
    </row>
    <row r="74" spans="1:4" ht="15.75" customHeight="1" x14ac:dyDescent="0.25">
      <c r="A74" s="17"/>
      <c r="B74" s="17"/>
      <c r="C74" s="17"/>
      <c r="D74" s="17"/>
    </row>
    <row r="75" spans="1:4" ht="15.75" customHeight="1" x14ac:dyDescent="0.25">
      <c r="A75" s="17"/>
      <c r="B75" s="17"/>
      <c r="C75" s="17"/>
      <c r="D75" s="17"/>
    </row>
    <row r="76" spans="1:4" ht="15.75" customHeight="1" x14ac:dyDescent="0.25">
      <c r="A76" s="17"/>
      <c r="B76" s="17"/>
      <c r="C76" s="17"/>
      <c r="D76" s="17"/>
    </row>
    <row r="77" spans="1:4" ht="15.75" customHeight="1" x14ac:dyDescent="0.25">
      <c r="A77" s="17"/>
      <c r="B77" s="17"/>
      <c r="C77" s="17"/>
      <c r="D77" s="17"/>
    </row>
    <row r="78" spans="1:4" ht="15.75" customHeight="1" x14ac:dyDescent="0.25">
      <c r="A78" s="17"/>
      <c r="B78" s="17"/>
      <c r="C78" s="17"/>
      <c r="D78" s="17"/>
    </row>
    <row r="79" spans="1:4" ht="15.75" customHeight="1" x14ac:dyDescent="0.25">
      <c r="A79" s="17"/>
      <c r="B79" s="17"/>
      <c r="C79" s="17"/>
      <c r="D79" s="17"/>
    </row>
    <row r="80" spans="1:4" ht="15.75" customHeight="1" x14ac:dyDescent="0.25">
      <c r="A80" s="17"/>
      <c r="B80" s="17"/>
      <c r="C80" s="17"/>
      <c r="D80" s="17"/>
    </row>
    <row r="81" spans="1:4" ht="15.75" customHeight="1" x14ac:dyDescent="0.25">
      <c r="A81" s="17"/>
      <c r="B81" s="17"/>
      <c r="C81" s="17"/>
      <c r="D81" s="17"/>
    </row>
    <row r="82" spans="1:4" ht="15.75" customHeight="1" x14ac:dyDescent="0.25">
      <c r="A82" s="17"/>
      <c r="B82" s="17"/>
      <c r="C82" s="17"/>
      <c r="D82" s="17"/>
    </row>
    <row r="83" spans="1:4" ht="15.75" customHeight="1" x14ac:dyDescent="0.25">
      <c r="A83" s="17"/>
      <c r="B83" s="17"/>
      <c r="C83" s="17"/>
      <c r="D83" s="17"/>
    </row>
    <row r="84" spans="1:4" ht="15.75" customHeight="1" x14ac:dyDescent="0.25">
      <c r="A84" s="17"/>
      <c r="B84" s="17"/>
      <c r="C84" s="17"/>
      <c r="D84" s="17"/>
    </row>
    <row r="85" spans="1:4" ht="15.75" customHeight="1" x14ac:dyDescent="0.25">
      <c r="A85" s="17"/>
      <c r="B85" s="17"/>
      <c r="C85" s="17"/>
      <c r="D85" s="17"/>
    </row>
    <row r="86" spans="1:4" ht="15.75" customHeight="1" x14ac:dyDescent="0.25">
      <c r="A86" s="17"/>
      <c r="B86" s="17"/>
      <c r="C86" s="17"/>
      <c r="D86" s="17"/>
    </row>
    <row r="87" spans="1:4" ht="15.75" customHeight="1" x14ac:dyDescent="0.25">
      <c r="A87" s="17"/>
      <c r="B87" s="17"/>
      <c r="C87" s="17"/>
      <c r="D87" s="17"/>
    </row>
    <row r="88" spans="1:4" ht="15.75" customHeight="1" x14ac:dyDescent="0.25">
      <c r="A88" s="17"/>
      <c r="B88" s="17"/>
      <c r="C88" s="17"/>
      <c r="D88" s="17"/>
    </row>
    <row r="89" spans="1:4" ht="15.75" customHeight="1" x14ac:dyDescent="0.25">
      <c r="A89" s="17"/>
      <c r="B89" s="17"/>
      <c r="C89" s="17"/>
      <c r="D89" s="17"/>
    </row>
    <row r="90" spans="1:4" ht="15.75" customHeight="1" x14ac:dyDescent="0.25">
      <c r="A90" s="17"/>
      <c r="B90" s="17"/>
      <c r="C90" s="17"/>
      <c r="D90" s="17"/>
    </row>
    <row r="91" spans="1:4" ht="15.75" customHeight="1" x14ac:dyDescent="0.25">
      <c r="A91" s="17"/>
      <c r="B91" s="17"/>
      <c r="C91" s="17"/>
      <c r="D91" s="17"/>
    </row>
    <row r="92" spans="1:4" ht="15.75" customHeight="1" x14ac:dyDescent="0.25">
      <c r="A92" s="17"/>
      <c r="B92" s="17"/>
      <c r="C92" s="17"/>
      <c r="D92" s="17"/>
    </row>
    <row r="93" spans="1:4" ht="15.75" customHeight="1" x14ac:dyDescent="0.25">
      <c r="A93" s="17"/>
      <c r="B93" s="17"/>
      <c r="C93" s="17"/>
      <c r="D93" s="17"/>
    </row>
    <row r="94" spans="1:4" ht="15.75" customHeight="1" x14ac:dyDescent="0.25">
      <c r="A94" s="17"/>
      <c r="B94" s="17"/>
      <c r="C94" s="17"/>
      <c r="D94" s="17"/>
    </row>
    <row r="95" spans="1:4" ht="15.75" customHeight="1" x14ac:dyDescent="0.25">
      <c r="A95" s="17"/>
      <c r="B95" s="17"/>
      <c r="C95" s="17"/>
      <c r="D95" s="17"/>
    </row>
    <row r="96" spans="1:4" ht="15.75" customHeight="1" x14ac:dyDescent="0.25">
      <c r="A96" s="17"/>
      <c r="B96" s="17"/>
      <c r="C96" s="17"/>
      <c r="D96" s="17"/>
    </row>
    <row r="97" spans="1:4" ht="15.75" customHeight="1" x14ac:dyDescent="0.25">
      <c r="A97" s="17"/>
      <c r="B97" s="17"/>
      <c r="C97" s="17"/>
      <c r="D97" s="17"/>
    </row>
    <row r="98" spans="1:4" ht="15.75" customHeight="1" x14ac:dyDescent="0.25">
      <c r="A98" s="17"/>
      <c r="B98" s="17"/>
      <c r="C98" s="17"/>
      <c r="D98" s="17"/>
    </row>
    <row r="99" spans="1:4" ht="15.75" customHeight="1" x14ac:dyDescent="0.25">
      <c r="A99" s="17"/>
      <c r="B99" s="17"/>
      <c r="C99" s="17"/>
      <c r="D99" s="17"/>
    </row>
    <row r="100" spans="1:4" ht="15.75" customHeight="1" x14ac:dyDescent="0.25">
      <c r="A100" s="17"/>
      <c r="B100" s="17"/>
      <c r="C100" s="17"/>
      <c r="D100" s="17"/>
    </row>
    <row r="101" spans="1:4" ht="15.75" customHeight="1" x14ac:dyDescent="0.25">
      <c r="A101" s="17"/>
      <c r="B101" s="17"/>
      <c r="C101" s="17"/>
      <c r="D101" s="17"/>
    </row>
    <row r="102" spans="1:4" ht="15.75" customHeight="1" x14ac:dyDescent="0.25">
      <c r="A102" s="17"/>
      <c r="B102" s="17"/>
      <c r="C102" s="17"/>
      <c r="D102" s="17"/>
    </row>
    <row r="103" spans="1:4" ht="15.75" customHeight="1" x14ac:dyDescent="0.25">
      <c r="A103" s="17"/>
      <c r="B103" s="17"/>
      <c r="C103" s="17"/>
      <c r="D103" s="17"/>
    </row>
    <row r="104" spans="1:4" ht="15.75" customHeight="1" x14ac:dyDescent="0.25">
      <c r="A104" s="17"/>
      <c r="B104" s="17"/>
      <c r="C104" s="17"/>
      <c r="D104" s="17"/>
    </row>
    <row r="105" spans="1:4" ht="15.75" customHeight="1" x14ac:dyDescent="0.25">
      <c r="A105" s="17"/>
      <c r="B105" s="17"/>
      <c r="C105" s="17"/>
      <c r="D105" s="17"/>
    </row>
    <row r="106" spans="1:4" ht="15.75" customHeight="1" x14ac:dyDescent="0.25">
      <c r="A106" s="17"/>
      <c r="B106" s="17"/>
      <c r="C106" s="17"/>
      <c r="D106" s="17"/>
    </row>
    <row r="107" spans="1:4" ht="15.75" customHeight="1" x14ac:dyDescent="0.25">
      <c r="A107" s="17"/>
      <c r="B107" s="17"/>
      <c r="C107" s="17"/>
      <c r="D107" s="17"/>
    </row>
    <row r="108" spans="1:4" ht="15.75" customHeight="1" x14ac:dyDescent="0.25">
      <c r="A108" s="17"/>
      <c r="B108" s="17"/>
      <c r="C108" s="17"/>
      <c r="D108" s="17"/>
    </row>
    <row r="109" spans="1:4" ht="15.75" customHeight="1" x14ac:dyDescent="0.25">
      <c r="A109" s="17"/>
      <c r="B109" s="17"/>
      <c r="C109" s="17"/>
      <c r="D109" s="17"/>
    </row>
    <row r="110" spans="1:4" ht="15.75" customHeight="1" x14ac:dyDescent="0.25">
      <c r="A110" s="17"/>
      <c r="B110" s="17"/>
      <c r="C110" s="17"/>
      <c r="D110" s="17"/>
    </row>
    <row r="111" spans="1:4" ht="15.75" customHeight="1" x14ac:dyDescent="0.25">
      <c r="A111" s="17"/>
      <c r="B111" s="17"/>
      <c r="C111" s="17"/>
      <c r="D111" s="17"/>
    </row>
    <row r="112" spans="1:4" ht="15.75" customHeight="1" x14ac:dyDescent="0.25">
      <c r="A112" s="17"/>
      <c r="B112" s="17"/>
      <c r="C112" s="17"/>
      <c r="D112" s="17"/>
    </row>
    <row r="113" spans="1:4" ht="15.75" customHeight="1" x14ac:dyDescent="0.25">
      <c r="A113" s="17"/>
      <c r="B113" s="17"/>
      <c r="C113" s="17"/>
      <c r="D113" s="17"/>
    </row>
    <row r="114" spans="1:4" ht="15.75" customHeight="1" x14ac:dyDescent="0.25">
      <c r="A114" s="17"/>
      <c r="B114" s="17"/>
      <c r="C114" s="17"/>
      <c r="D114" s="17"/>
    </row>
    <row r="115" spans="1:4" ht="15.75" customHeight="1" x14ac:dyDescent="0.25">
      <c r="A115" s="17"/>
      <c r="B115" s="17"/>
      <c r="C115" s="17"/>
      <c r="D115" s="17"/>
    </row>
    <row r="116" spans="1:4" ht="15.75" customHeight="1" x14ac:dyDescent="0.25">
      <c r="A116" s="17"/>
      <c r="B116" s="17"/>
      <c r="C116" s="17"/>
      <c r="D116" s="17"/>
    </row>
    <row r="117" spans="1:4" ht="15.75" customHeight="1" x14ac:dyDescent="0.25">
      <c r="A117" s="17"/>
      <c r="B117" s="17"/>
      <c r="C117" s="17"/>
      <c r="D117" s="17"/>
    </row>
    <row r="118" spans="1:4" ht="15.75" customHeight="1" x14ac:dyDescent="0.25">
      <c r="A118" s="17"/>
      <c r="B118" s="17"/>
      <c r="C118" s="17"/>
      <c r="D118" s="17"/>
    </row>
    <row r="119" spans="1:4" ht="15.75" customHeight="1" x14ac:dyDescent="0.25">
      <c r="A119" s="17"/>
      <c r="B119" s="17"/>
      <c r="C119" s="17"/>
      <c r="D119" s="17"/>
    </row>
    <row r="120" spans="1:4" ht="15.75" customHeight="1" x14ac:dyDescent="0.25">
      <c r="A120" s="17"/>
      <c r="B120" s="17"/>
      <c r="C120" s="17"/>
      <c r="D120" s="17"/>
    </row>
    <row r="121" spans="1:4" ht="15.75" customHeight="1" x14ac:dyDescent="0.25">
      <c r="A121" s="17"/>
      <c r="B121" s="17"/>
      <c r="C121" s="17"/>
      <c r="D121" s="17"/>
    </row>
    <row r="122" spans="1:4" ht="15.75" customHeight="1" x14ac:dyDescent="0.25">
      <c r="A122" s="17"/>
      <c r="B122" s="17"/>
      <c r="C122" s="17"/>
      <c r="D122" s="17"/>
    </row>
    <row r="123" spans="1:4" ht="15.75" customHeight="1" x14ac:dyDescent="0.25">
      <c r="A123" s="17"/>
      <c r="B123" s="17"/>
      <c r="C123" s="17"/>
      <c r="D123" s="17"/>
    </row>
    <row r="124" spans="1:4" ht="15.75" customHeight="1" x14ac:dyDescent="0.25">
      <c r="A124" s="17"/>
      <c r="B124" s="17"/>
      <c r="C124" s="17"/>
      <c r="D124" s="17"/>
    </row>
    <row r="125" spans="1:4" ht="15.75" customHeight="1" x14ac:dyDescent="0.25">
      <c r="A125" s="17"/>
      <c r="B125" s="17"/>
      <c r="C125" s="17"/>
      <c r="D125" s="17"/>
    </row>
    <row r="126" spans="1:4" ht="15.75" customHeight="1" x14ac:dyDescent="0.25">
      <c r="A126" s="17"/>
      <c r="B126" s="17"/>
      <c r="C126" s="17"/>
      <c r="D126" s="17"/>
    </row>
    <row r="127" spans="1:4" ht="15.75" customHeight="1" x14ac:dyDescent="0.25">
      <c r="A127" s="17"/>
      <c r="B127" s="17"/>
      <c r="C127" s="17"/>
      <c r="D127" s="17"/>
    </row>
    <row r="128" spans="1:4" ht="15.75" customHeight="1" x14ac:dyDescent="0.25">
      <c r="A128" s="17"/>
      <c r="B128" s="17"/>
      <c r="C128" s="17"/>
      <c r="D128" s="17"/>
    </row>
    <row r="129" spans="1:4" ht="15.75" customHeight="1" x14ac:dyDescent="0.25">
      <c r="A129" s="17"/>
      <c r="B129" s="17"/>
      <c r="C129" s="17"/>
      <c r="D129" s="17"/>
    </row>
    <row r="130" spans="1:4" ht="15.75" customHeight="1" x14ac:dyDescent="0.25">
      <c r="A130" s="17"/>
      <c r="B130" s="17"/>
      <c r="C130" s="17"/>
      <c r="D130" s="17"/>
    </row>
    <row r="131" spans="1:4" ht="15.75" customHeight="1" x14ac:dyDescent="0.25">
      <c r="A131" s="17"/>
      <c r="B131" s="17"/>
      <c r="C131" s="17"/>
      <c r="D131" s="17"/>
    </row>
    <row r="132" spans="1:4" ht="15.75" customHeight="1" x14ac:dyDescent="0.25">
      <c r="A132" s="17"/>
      <c r="B132" s="17"/>
      <c r="C132" s="17"/>
      <c r="D132" s="17"/>
    </row>
    <row r="133" spans="1:4" ht="15.75" customHeight="1" x14ac:dyDescent="0.25">
      <c r="A133" s="17"/>
      <c r="B133" s="17"/>
      <c r="C133" s="17"/>
      <c r="D133" s="17"/>
    </row>
    <row r="134" spans="1:4" ht="15.75" customHeight="1" x14ac:dyDescent="0.25">
      <c r="A134" s="17"/>
      <c r="B134" s="17"/>
      <c r="C134" s="17"/>
      <c r="D134" s="17"/>
    </row>
    <row r="135" spans="1:4" ht="15.75" customHeight="1" x14ac:dyDescent="0.25">
      <c r="A135" s="17"/>
      <c r="B135" s="17"/>
      <c r="C135" s="17"/>
      <c r="D135" s="17"/>
    </row>
    <row r="136" spans="1:4" ht="15.75" customHeight="1" x14ac:dyDescent="0.25">
      <c r="A136" s="17"/>
      <c r="B136" s="17"/>
      <c r="C136" s="17"/>
      <c r="D136" s="17"/>
    </row>
    <row r="137" spans="1:4" ht="15.75" customHeight="1" x14ac:dyDescent="0.25">
      <c r="A137" s="17"/>
      <c r="B137" s="17"/>
      <c r="C137" s="17"/>
      <c r="D137" s="17"/>
    </row>
    <row r="138" spans="1:4" ht="15.75" customHeight="1" x14ac:dyDescent="0.25">
      <c r="A138" s="17"/>
      <c r="B138" s="17"/>
      <c r="C138" s="17"/>
      <c r="D138" s="17"/>
    </row>
    <row r="139" spans="1:4" ht="15.75" customHeight="1" x14ac:dyDescent="0.25">
      <c r="A139" s="17"/>
      <c r="B139" s="17"/>
      <c r="C139" s="17"/>
      <c r="D139" s="17"/>
    </row>
    <row r="140" spans="1:4" ht="15.75" customHeight="1" x14ac:dyDescent="0.25">
      <c r="A140" s="17"/>
      <c r="B140" s="17"/>
      <c r="C140" s="17"/>
      <c r="D140" s="17"/>
    </row>
    <row r="141" spans="1:4" ht="15.75" customHeight="1" x14ac:dyDescent="0.25">
      <c r="A141" s="17"/>
      <c r="B141" s="17"/>
      <c r="C141" s="17"/>
      <c r="D141" s="17"/>
    </row>
    <row r="142" spans="1:4" ht="15.75" customHeight="1" x14ac:dyDescent="0.25">
      <c r="A142" s="17"/>
      <c r="B142" s="17"/>
      <c r="C142" s="17"/>
      <c r="D142" s="17"/>
    </row>
    <row r="143" spans="1:4" ht="15.75" customHeight="1" x14ac:dyDescent="0.25">
      <c r="A143" s="17"/>
      <c r="B143" s="17"/>
      <c r="C143" s="17"/>
      <c r="D143" s="17"/>
    </row>
    <row r="144" spans="1:4" ht="15.75" customHeight="1" x14ac:dyDescent="0.25">
      <c r="A144" s="17"/>
      <c r="B144" s="17"/>
      <c r="C144" s="17"/>
      <c r="D144" s="17"/>
    </row>
    <row r="145" spans="1:4" ht="15.75" customHeight="1" x14ac:dyDescent="0.25">
      <c r="A145" s="17"/>
      <c r="B145" s="17"/>
      <c r="C145" s="17"/>
      <c r="D145" s="17"/>
    </row>
    <row r="146" spans="1:4" ht="15.75" customHeight="1" x14ac:dyDescent="0.25">
      <c r="A146" s="17"/>
      <c r="B146" s="17"/>
      <c r="C146" s="17"/>
      <c r="D146" s="17"/>
    </row>
    <row r="147" spans="1:4" ht="15.75" customHeight="1" x14ac:dyDescent="0.25">
      <c r="A147" s="17"/>
      <c r="B147" s="17"/>
      <c r="C147" s="17"/>
      <c r="D147" s="17"/>
    </row>
    <row r="148" spans="1:4" ht="15.75" customHeight="1" x14ac:dyDescent="0.25">
      <c r="A148" s="17"/>
      <c r="B148" s="17"/>
      <c r="C148" s="17"/>
      <c r="D148" s="17"/>
    </row>
    <row r="149" spans="1:4" ht="15.75" customHeight="1" x14ac:dyDescent="0.25">
      <c r="A149" s="17"/>
      <c r="B149" s="17"/>
      <c r="C149" s="17"/>
      <c r="D149" s="17"/>
    </row>
    <row r="150" spans="1:4" ht="15.75" customHeight="1" x14ac:dyDescent="0.25">
      <c r="A150" s="17"/>
      <c r="B150" s="17"/>
      <c r="C150" s="17"/>
      <c r="D150" s="17"/>
    </row>
    <row r="151" spans="1:4" ht="15.75" customHeight="1" x14ac:dyDescent="0.25">
      <c r="A151" s="17"/>
      <c r="B151" s="17"/>
      <c r="C151" s="17"/>
      <c r="D151" s="17"/>
    </row>
    <row r="152" spans="1:4" ht="15.75" customHeight="1" x14ac:dyDescent="0.25">
      <c r="A152" s="17"/>
      <c r="B152" s="17"/>
      <c r="C152" s="17"/>
      <c r="D152" s="17"/>
    </row>
    <row r="153" spans="1:4" ht="15.75" customHeight="1" x14ac:dyDescent="0.25">
      <c r="A153" s="17"/>
      <c r="B153" s="17"/>
      <c r="C153" s="17"/>
      <c r="D153" s="17"/>
    </row>
    <row r="154" spans="1:4" ht="15.75" customHeight="1" x14ac:dyDescent="0.25">
      <c r="A154" s="17"/>
      <c r="B154" s="17"/>
      <c r="C154" s="17"/>
      <c r="D154" s="17"/>
    </row>
    <row r="155" spans="1:4" ht="15.75" customHeight="1" x14ac:dyDescent="0.25">
      <c r="A155" s="17"/>
      <c r="B155" s="17"/>
      <c r="C155" s="17"/>
      <c r="D155" s="17"/>
    </row>
    <row r="156" spans="1:4" ht="15.75" customHeight="1" x14ac:dyDescent="0.25">
      <c r="A156" s="17"/>
      <c r="B156" s="17"/>
      <c r="C156" s="17"/>
      <c r="D156" s="17"/>
    </row>
    <row r="157" spans="1:4" ht="15.75" customHeight="1" x14ac:dyDescent="0.25">
      <c r="A157" s="17"/>
      <c r="B157" s="17"/>
      <c r="C157" s="17"/>
      <c r="D157" s="17"/>
    </row>
    <row r="158" spans="1:4" ht="15.75" customHeight="1" x14ac:dyDescent="0.25">
      <c r="A158" s="17"/>
      <c r="B158" s="17"/>
      <c r="C158" s="17"/>
      <c r="D158" s="17"/>
    </row>
    <row r="159" spans="1:4" ht="15.75" customHeight="1" x14ac:dyDescent="0.25">
      <c r="A159" s="17"/>
      <c r="B159" s="17"/>
      <c r="C159" s="17"/>
      <c r="D159" s="17"/>
    </row>
    <row r="160" spans="1:4" ht="15.75" customHeight="1" x14ac:dyDescent="0.25">
      <c r="A160" s="17"/>
      <c r="B160" s="17"/>
      <c r="C160" s="17"/>
      <c r="D160" s="17"/>
    </row>
    <row r="161" spans="1:4" ht="15.75" customHeight="1" x14ac:dyDescent="0.25">
      <c r="A161" s="17"/>
      <c r="B161" s="17"/>
      <c r="C161" s="17"/>
      <c r="D161" s="17"/>
    </row>
    <row r="162" spans="1:4" ht="15.75" customHeight="1" x14ac:dyDescent="0.25">
      <c r="A162" s="17"/>
      <c r="B162" s="17"/>
      <c r="C162" s="17"/>
      <c r="D162" s="17"/>
    </row>
    <row r="163" spans="1:4" ht="15.75" customHeight="1" x14ac:dyDescent="0.25">
      <c r="A163" s="17"/>
      <c r="B163" s="17"/>
      <c r="C163" s="17"/>
      <c r="D163" s="17"/>
    </row>
    <row r="164" spans="1:4" ht="15.75" customHeight="1" x14ac:dyDescent="0.25">
      <c r="A164" s="17"/>
      <c r="B164" s="17"/>
      <c r="C164" s="17"/>
      <c r="D164" s="17"/>
    </row>
    <row r="165" spans="1:4" ht="15.75" customHeight="1" x14ac:dyDescent="0.25">
      <c r="A165" s="17"/>
      <c r="B165" s="17"/>
      <c r="C165" s="17"/>
      <c r="D165" s="17"/>
    </row>
    <row r="166" spans="1:4" ht="15.75" customHeight="1" x14ac:dyDescent="0.25">
      <c r="A166" s="17"/>
      <c r="B166" s="17"/>
      <c r="C166" s="17"/>
      <c r="D166" s="17"/>
    </row>
    <row r="167" spans="1:4" ht="15.75" customHeight="1" x14ac:dyDescent="0.25">
      <c r="A167" s="17"/>
      <c r="B167" s="17"/>
      <c r="C167" s="17"/>
      <c r="D167" s="17"/>
    </row>
    <row r="168" spans="1:4" ht="15.75" customHeight="1" x14ac:dyDescent="0.25">
      <c r="A168" s="17"/>
      <c r="B168" s="17"/>
      <c r="C168" s="17"/>
      <c r="D168" s="17"/>
    </row>
    <row r="169" spans="1:4" ht="15.75" customHeight="1" x14ac:dyDescent="0.25">
      <c r="A169" s="17"/>
      <c r="B169" s="17"/>
      <c r="C169" s="17"/>
      <c r="D169" s="17"/>
    </row>
    <row r="170" spans="1:4" ht="15.75" customHeight="1" x14ac:dyDescent="0.25">
      <c r="A170" s="17"/>
      <c r="B170" s="17"/>
      <c r="C170" s="17"/>
      <c r="D170" s="17"/>
    </row>
    <row r="171" spans="1:4" ht="15.75" customHeight="1" x14ac:dyDescent="0.25">
      <c r="A171" s="17"/>
      <c r="B171" s="17"/>
      <c r="C171" s="17"/>
      <c r="D171" s="17"/>
    </row>
    <row r="172" spans="1:4" ht="15.75" customHeight="1" x14ac:dyDescent="0.25">
      <c r="A172" s="17"/>
      <c r="B172" s="17"/>
      <c r="C172" s="17"/>
      <c r="D172" s="17"/>
    </row>
    <row r="173" spans="1:4" ht="15.75" customHeight="1" x14ac:dyDescent="0.25">
      <c r="A173" s="17"/>
      <c r="B173" s="17"/>
      <c r="C173" s="17"/>
      <c r="D173" s="17"/>
    </row>
    <row r="174" spans="1:4" ht="15.75" customHeight="1" x14ac:dyDescent="0.25">
      <c r="A174" s="17"/>
      <c r="B174" s="17"/>
      <c r="C174" s="17"/>
      <c r="D174" s="17"/>
    </row>
    <row r="175" spans="1:4" ht="15.75" customHeight="1" x14ac:dyDescent="0.25">
      <c r="A175" s="17"/>
      <c r="B175" s="17"/>
      <c r="C175" s="17"/>
      <c r="D175" s="17"/>
    </row>
    <row r="176" spans="1:4" ht="15.75" customHeight="1" x14ac:dyDescent="0.25">
      <c r="A176" s="17"/>
      <c r="B176" s="17"/>
      <c r="C176" s="17"/>
      <c r="D176" s="17"/>
    </row>
    <row r="177" spans="1:4" ht="15.75" customHeight="1" x14ac:dyDescent="0.25">
      <c r="A177" s="17"/>
      <c r="B177" s="17"/>
      <c r="C177" s="17"/>
      <c r="D177" s="17"/>
    </row>
    <row r="178" spans="1:4" ht="15.75" customHeight="1" x14ac:dyDescent="0.25">
      <c r="A178" s="17"/>
      <c r="B178" s="17"/>
      <c r="C178" s="17"/>
      <c r="D178" s="17"/>
    </row>
    <row r="179" spans="1:4" ht="15.75" customHeight="1" x14ac:dyDescent="0.25">
      <c r="A179" s="17"/>
      <c r="B179" s="17"/>
      <c r="C179" s="17"/>
      <c r="D179" s="17"/>
    </row>
    <row r="180" spans="1:4" ht="15.75" customHeight="1" x14ac:dyDescent="0.25">
      <c r="A180" s="17"/>
      <c r="B180" s="17"/>
      <c r="C180" s="17"/>
      <c r="D180" s="17"/>
    </row>
    <row r="181" spans="1:4" ht="15.75" customHeight="1" x14ac:dyDescent="0.25">
      <c r="A181" s="17"/>
      <c r="B181" s="17"/>
      <c r="C181" s="17"/>
      <c r="D181" s="17"/>
    </row>
    <row r="182" spans="1:4" ht="15.75" customHeight="1" x14ac:dyDescent="0.25">
      <c r="A182" s="17"/>
      <c r="B182" s="17"/>
      <c r="C182" s="17"/>
      <c r="D182" s="17"/>
    </row>
    <row r="183" spans="1:4" ht="15.75" customHeight="1" x14ac:dyDescent="0.25">
      <c r="A183" s="17"/>
      <c r="B183" s="17"/>
      <c r="C183" s="17"/>
      <c r="D183" s="17"/>
    </row>
    <row r="184" spans="1:4" ht="15.75" customHeight="1" x14ac:dyDescent="0.25">
      <c r="A184" s="17"/>
      <c r="B184" s="17"/>
      <c r="C184" s="17"/>
      <c r="D184" s="17"/>
    </row>
    <row r="185" spans="1:4" ht="15.75" customHeight="1" x14ac:dyDescent="0.25">
      <c r="A185" s="17"/>
      <c r="B185" s="17"/>
      <c r="C185" s="17"/>
      <c r="D185" s="17"/>
    </row>
    <row r="186" spans="1:4" ht="15.75" customHeight="1" x14ac:dyDescent="0.25">
      <c r="A186" s="17"/>
      <c r="B186" s="17"/>
      <c r="C186" s="17"/>
      <c r="D186" s="17"/>
    </row>
    <row r="187" spans="1:4" ht="15.75" customHeight="1" x14ac:dyDescent="0.25">
      <c r="A187" s="17"/>
      <c r="B187" s="17"/>
      <c r="C187" s="17"/>
      <c r="D187" s="17"/>
    </row>
    <row r="188" spans="1:4" ht="15.75" customHeight="1" x14ac:dyDescent="0.25">
      <c r="A188" s="17"/>
      <c r="B188" s="17"/>
      <c r="C188" s="17"/>
      <c r="D188" s="17"/>
    </row>
    <row r="189" spans="1:4" ht="15.75" customHeight="1" x14ac:dyDescent="0.25">
      <c r="A189" s="17"/>
      <c r="B189" s="17"/>
      <c r="C189" s="17"/>
      <c r="D189" s="17"/>
    </row>
    <row r="190" spans="1:4" ht="15.75" customHeight="1" x14ac:dyDescent="0.25">
      <c r="A190" s="17"/>
      <c r="B190" s="17"/>
      <c r="C190" s="17"/>
      <c r="D190" s="17"/>
    </row>
    <row r="191" spans="1:4" ht="15.75" customHeight="1" x14ac:dyDescent="0.25">
      <c r="A191" s="17"/>
      <c r="B191" s="17"/>
      <c r="C191" s="17"/>
      <c r="D191" s="17"/>
    </row>
    <row r="192" spans="1:4" ht="15.75" customHeight="1" x14ac:dyDescent="0.25">
      <c r="A192" s="17"/>
      <c r="B192" s="17"/>
      <c r="C192" s="17"/>
      <c r="D192" s="17"/>
    </row>
    <row r="193" spans="1:4" ht="15.75" customHeight="1" x14ac:dyDescent="0.25">
      <c r="A193" s="17"/>
      <c r="B193" s="17"/>
      <c r="C193" s="17"/>
      <c r="D193" s="17"/>
    </row>
    <row r="194" spans="1:4" ht="15.75" customHeight="1" x14ac:dyDescent="0.25">
      <c r="A194" s="17"/>
      <c r="B194" s="17"/>
      <c r="C194" s="17"/>
      <c r="D194" s="17"/>
    </row>
    <row r="195" spans="1:4" ht="15.75" customHeight="1" x14ac:dyDescent="0.25">
      <c r="A195" s="17"/>
      <c r="B195" s="17"/>
      <c r="C195" s="17"/>
      <c r="D195" s="17"/>
    </row>
    <row r="196" spans="1:4" ht="15.75" customHeight="1" x14ac:dyDescent="0.25">
      <c r="A196" s="17"/>
      <c r="B196" s="17"/>
      <c r="C196" s="17"/>
      <c r="D196" s="17"/>
    </row>
    <row r="197" spans="1:4" ht="15.75" customHeight="1" x14ac:dyDescent="0.25">
      <c r="A197" s="17"/>
      <c r="B197" s="17"/>
      <c r="C197" s="17"/>
      <c r="D197" s="17"/>
    </row>
    <row r="198" spans="1:4" ht="15.75" customHeight="1" x14ac:dyDescent="0.25">
      <c r="A198" s="17"/>
      <c r="B198" s="17"/>
      <c r="C198" s="17"/>
      <c r="D198" s="17"/>
    </row>
    <row r="199" spans="1:4" ht="15.75" customHeight="1" x14ac:dyDescent="0.25">
      <c r="A199" s="17"/>
      <c r="B199" s="17"/>
      <c r="C199" s="17"/>
      <c r="D199" s="17"/>
    </row>
    <row r="200" spans="1:4" ht="15.75" customHeight="1" x14ac:dyDescent="0.25">
      <c r="A200" s="17"/>
      <c r="B200" s="17"/>
      <c r="C200" s="17"/>
      <c r="D200" s="17"/>
    </row>
    <row r="201" spans="1:4" ht="15.75" customHeight="1" x14ac:dyDescent="0.25">
      <c r="A201" s="17"/>
      <c r="B201" s="17"/>
      <c r="C201" s="17"/>
      <c r="D201" s="17"/>
    </row>
    <row r="202" spans="1:4" ht="15.75" customHeight="1" x14ac:dyDescent="0.25">
      <c r="A202" s="17"/>
      <c r="B202" s="17"/>
      <c r="C202" s="17"/>
      <c r="D202" s="17"/>
    </row>
    <row r="203" spans="1:4" ht="15.75" customHeight="1" x14ac:dyDescent="0.25">
      <c r="A203" s="17"/>
      <c r="B203" s="17"/>
      <c r="C203" s="17"/>
      <c r="D203" s="17"/>
    </row>
    <row r="204" spans="1:4" ht="15.75" customHeight="1" x14ac:dyDescent="0.25">
      <c r="A204" s="17"/>
      <c r="B204" s="17"/>
      <c r="C204" s="17"/>
      <c r="D204" s="17"/>
    </row>
    <row r="205" spans="1:4" ht="15.75" customHeight="1" x14ac:dyDescent="0.25">
      <c r="A205" s="17"/>
      <c r="B205" s="17"/>
      <c r="C205" s="17"/>
      <c r="D205" s="17"/>
    </row>
    <row r="206" spans="1:4" ht="15.75" customHeight="1" x14ac:dyDescent="0.25">
      <c r="A206" s="17"/>
      <c r="B206" s="17"/>
      <c r="C206" s="17"/>
      <c r="D206" s="17"/>
    </row>
    <row r="207" spans="1:4" ht="15.75" customHeight="1" x14ac:dyDescent="0.25">
      <c r="A207" s="17"/>
      <c r="B207" s="17"/>
      <c r="C207" s="17"/>
      <c r="D207" s="17"/>
    </row>
    <row r="208" spans="1:4" ht="15.75" customHeight="1" x14ac:dyDescent="0.25">
      <c r="A208" s="17"/>
      <c r="B208" s="17"/>
      <c r="C208" s="17"/>
      <c r="D208" s="17"/>
    </row>
    <row r="209" spans="1:4" ht="15.75" customHeight="1" x14ac:dyDescent="0.25">
      <c r="A209" s="17"/>
      <c r="B209" s="17"/>
      <c r="C209" s="17"/>
      <c r="D209" s="17"/>
    </row>
    <row r="210" spans="1:4" ht="15.75" customHeight="1" x14ac:dyDescent="0.25">
      <c r="A210" s="17"/>
      <c r="B210" s="17"/>
      <c r="C210" s="17"/>
      <c r="D210" s="17"/>
    </row>
    <row r="211" spans="1:4" ht="15.75" customHeight="1" x14ac:dyDescent="0.25">
      <c r="A211" s="17"/>
      <c r="B211" s="17"/>
      <c r="C211" s="17"/>
      <c r="D211" s="17"/>
    </row>
    <row r="212" spans="1:4" ht="15.75" customHeight="1" x14ac:dyDescent="0.25">
      <c r="A212" s="17"/>
      <c r="B212" s="17"/>
      <c r="C212" s="17"/>
      <c r="D212" s="17"/>
    </row>
    <row r="213" spans="1:4" ht="15.75" customHeight="1" x14ac:dyDescent="0.25">
      <c r="A213" s="17"/>
      <c r="B213" s="17"/>
      <c r="C213" s="17"/>
      <c r="D213" s="17"/>
    </row>
    <row r="214" spans="1:4" ht="15.75" customHeight="1" x14ac:dyDescent="0.25">
      <c r="A214" s="17"/>
      <c r="B214" s="17"/>
      <c r="C214" s="17"/>
      <c r="D214" s="17"/>
    </row>
    <row r="215" spans="1:4" ht="15.75" customHeight="1" x14ac:dyDescent="0.25">
      <c r="A215" s="17"/>
      <c r="B215" s="17"/>
      <c r="C215" s="17"/>
      <c r="D215" s="17"/>
    </row>
    <row r="216" spans="1:4" ht="15.75" customHeight="1" x14ac:dyDescent="0.25">
      <c r="A216" s="17"/>
      <c r="B216" s="17"/>
      <c r="C216" s="17"/>
      <c r="D216" s="17"/>
    </row>
    <row r="217" spans="1:4" ht="15.75" customHeight="1" x14ac:dyDescent="0.25">
      <c r="A217" s="17"/>
      <c r="B217" s="17"/>
      <c r="C217" s="17"/>
      <c r="D217" s="17"/>
    </row>
    <row r="218" spans="1:4" ht="15.75" customHeight="1" x14ac:dyDescent="0.25">
      <c r="A218" s="17"/>
      <c r="B218" s="17"/>
      <c r="C218" s="17"/>
      <c r="D218" s="17"/>
    </row>
    <row r="219" spans="1:4" ht="15.75" customHeight="1" x14ac:dyDescent="0.25">
      <c r="A219" s="17"/>
      <c r="B219" s="17"/>
      <c r="C219" s="17"/>
      <c r="D219" s="17"/>
    </row>
    <row r="220" spans="1:4" ht="15.75" customHeight="1" x14ac:dyDescent="0.25">
      <c r="A220" s="17"/>
      <c r="B220" s="17"/>
      <c r="C220" s="17"/>
      <c r="D220" s="17"/>
    </row>
    <row r="221" spans="1:4" ht="15.75" customHeight="1" x14ac:dyDescent="0.25">
      <c r="A221" s="17"/>
      <c r="B221" s="17"/>
      <c r="C221" s="17"/>
      <c r="D221" s="17"/>
    </row>
    <row r="222" spans="1:4" ht="15.75" customHeight="1" x14ac:dyDescent="0.25">
      <c r="A222" s="17"/>
      <c r="B222" s="17"/>
      <c r="C222" s="17"/>
      <c r="D222" s="17"/>
    </row>
    <row r="223" spans="1:4" ht="15.75" customHeight="1" x14ac:dyDescent="0.25">
      <c r="A223" s="17"/>
      <c r="B223" s="17"/>
      <c r="C223" s="17"/>
      <c r="D223" s="17"/>
    </row>
    <row r="224" spans="1:4" ht="15.75" customHeight="1" x14ac:dyDescent="0.25">
      <c r="A224" s="17"/>
      <c r="B224" s="17"/>
      <c r="C224" s="17"/>
      <c r="D224" s="17"/>
    </row>
    <row r="225" spans="1:4" ht="15.75" customHeight="1" x14ac:dyDescent="0.25">
      <c r="A225" s="17"/>
      <c r="B225" s="17"/>
      <c r="C225" s="17"/>
      <c r="D225" s="17"/>
    </row>
    <row r="226" spans="1:4" ht="15.75" customHeight="1" x14ac:dyDescent="0.25">
      <c r="A226" s="17"/>
      <c r="B226" s="17"/>
      <c r="C226" s="17"/>
      <c r="D226" s="17"/>
    </row>
    <row r="227" spans="1:4" ht="15.75" customHeight="1" x14ac:dyDescent="0.25">
      <c r="A227" s="17"/>
      <c r="B227" s="17"/>
      <c r="C227" s="17"/>
      <c r="D227" s="17"/>
    </row>
    <row r="228" spans="1:4" ht="15.75" customHeight="1" x14ac:dyDescent="0.25">
      <c r="A228" s="17"/>
      <c r="B228" s="17"/>
      <c r="C228" s="17"/>
      <c r="D228" s="17"/>
    </row>
    <row r="229" spans="1:4" ht="15.75" customHeight="1" x14ac:dyDescent="0.25">
      <c r="A229" s="17"/>
      <c r="B229" s="17"/>
      <c r="C229" s="17"/>
      <c r="D229" s="17"/>
    </row>
    <row r="230" spans="1:4" ht="15.75" customHeight="1" x14ac:dyDescent="0.25">
      <c r="A230" s="17"/>
      <c r="B230" s="17"/>
      <c r="C230" s="17"/>
      <c r="D230" s="17"/>
    </row>
    <row r="231" spans="1:4" ht="15.75" customHeight="1" x14ac:dyDescent="0.25">
      <c r="A231" s="17"/>
      <c r="B231" s="17"/>
      <c r="C231" s="17"/>
      <c r="D231" s="17"/>
    </row>
    <row r="232" spans="1:4" ht="15.75" customHeight="1" x14ac:dyDescent="0.25">
      <c r="A232" s="17"/>
      <c r="B232" s="17"/>
      <c r="C232" s="17"/>
      <c r="D232" s="17"/>
    </row>
    <row r="233" spans="1:4" ht="15.75" customHeight="1" x14ac:dyDescent="0.25">
      <c r="A233" s="17"/>
      <c r="B233" s="17"/>
      <c r="C233" s="17"/>
      <c r="D233" s="17"/>
    </row>
    <row r="234" spans="1:4" ht="15.75" customHeight="1" x14ac:dyDescent="0.25">
      <c r="A234" s="17"/>
      <c r="B234" s="17"/>
      <c r="C234" s="17"/>
      <c r="D234" s="17"/>
    </row>
    <row r="235" spans="1:4" ht="15.75" customHeight="1" x14ac:dyDescent="0.25">
      <c r="A235" s="17"/>
      <c r="B235" s="17"/>
      <c r="C235" s="17"/>
      <c r="D235" s="17"/>
    </row>
    <row r="236" spans="1:4" ht="15.75" customHeight="1" x14ac:dyDescent="0.25">
      <c r="A236" s="17"/>
      <c r="B236" s="17"/>
      <c r="C236" s="17"/>
      <c r="D236" s="17"/>
    </row>
    <row r="237" spans="1:4" ht="15.75" customHeight="1" x14ac:dyDescent="0.25">
      <c r="A237" s="17"/>
      <c r="B237" s="17"/>
      <c r="C237" s="17"/>
      <c r="D237" s="17"/>
    </row>
    <row r="238" spans="1:4" ht="15.75" customHeight="1" x14ac:dyDescent="0.25">
      <c r="A238" s="17"/>
      <c r="B238" s="17"/>
      <c r="C238" s="17"/>
      <c r="D238" s="17"/>
    </row>
    <row r="239" spans="1:4" ht="15.75" customHeight="1" x14ac:dyDescent="0.25">
      <c r="A239" s="17"/>
      <c r="B239" s="17"/>
      <c r="C239" s="17"/>
      <c r="D239" s="17"/>
    </row>
    <row r="240" spans="1:4" ht="15.75" customHeight="1" x14ac:dyDescent="0.25">
      <c r="A240" s="17"/>
      <c r="B240" s="17"/>
      <c r="C240" s="17"/>
      <c r="D240" s="17"/>
    </row>
    <row r="241" spans="1:4" ht="15.75" customHeight="1" x14ac:dyDescent="0.25">
      <c r="A241" s="17"/>
      <c r="B241" s="17"/>
      <c r="C241" s="17"/>
      <c r="D241" s="17"/>
    </row>
    <row r="242" spans="1:4" ht="15.75" customHeight="1" x14ac:dyDescent="0.25">
      <c r="A242" s="17"/>
      <c r="B242" s="17"/>
      <c r="C242" s="17"/>
      <c r="D242" s="17"/>
    </row>
    <row r="243" spans="1:4" ht="15.75" customHeight="1" x14ac:dyDescent="0.25">
      <c r="A243" s="17"/>
      <c r="B243" s="17"/>
      <c r="C243" s="17"/>
      <c r="D243" s="17"/>
    </row>
    <row r="244" spans="1:4" ht="15.75" customHeight="1" x14ac:dyDescent="0.25">
      <c r="A244" s="17"/>
      <c r="B244" s="17"/>
      <c r="C244" s="17"/>
      <c r="D244" s="17"/>
    </row>
    <row r="245" spans="1:4" ht="15.75" customHeight="1" x14ac:dyDescent="0.25">
      <c r="A245" s="17"/>
      <c r="B245" s="17"/>
      <c r="C245" s="17"/>
      <c r="D245" s="17"/>
    </row>
    <row r="246" spans="1:4" ht="15.75" customHeight="1" x14ac:dyDescent="0.25">
      <c r="A246" s="17"/>
      <c r="B246" s="17"/>
      <c r="C246" s="17"/>
      <c r="D246" s="17"/>
    </row>
    <row r="247" spans="1:4" ht="15.75" customHeight="1" x14ac:dyDescent="0.25">
      <c r="A247" s="17"/>
      <c r="B247" s="17"/>
      <c r="C247" s="17"/>
      <c r="D247" s="17"/>
    </row>
    <row r="248" spans="1:4" ht="15.75" customHeight="1" x14ac:dyDescent="0.25">
      <c r="A248" s="17"/>
      <c r="B248" s="17"/>
      <c r="C248" s="17"/>
      <c r="D248" s="17"/>
    </row>
    <row r="249" spans="1:4" ht="15.75" customHeight="1" x14ac:dyDescent="0.25">
      <c r="A249" s="17"/>
      <c r="B249" s="17"/>
      <c r="C249" s="17"/>
      <c r="D249" s="17"/>
    </row>
    <row r="250" spans="1:4" ht="15.75" customHeight="1" x14ac:dyDescent="0.25"/>
    <row r="251" spans="1:4" ht="15.75" customHeight="1" x14ac:dyDescent="0.25"/>
    <row r="252" spans="1:4" ht="15.75" customHeight="1" x14ac:dyDescent="0.25"/>
    <row r="253" spans="1:4" ht="15.75" customHeight="1" x14ac:dyDescent="0.25"/>
    <row r="254" spans="1:4" ht="15.75" customHeight="1" x14ac:dyDescent="0.25"/>
    <row r="255" spans="1:4" ht="15.75" customHeight="1" x14ac:dyDescent="0.25"/>
    <row r="256" spans="1: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12:G12"/>
    <mergeCell ref="X20:X27"/>
    <mergeCell ref="A28:G28"/>
    <mergeCell ref="T20:T27"/>
    <mergeCell ref="T29:T36"/>
    <mergeCell ref="X29:X36"/>
    <mergeCell ref="T2:T10"/>
    <mergeCell ref="X2:X10"/>
    <mergeCell ref="T11:T19"/>
    <mergeCell ref="X11:X19"/>
  </mergeCells>
  <dataValidations count="1">
    <dataValidation type="list" allowBlank="1" showErrorMessage="1" sqref="F14:F25 F30:F40" xr:uid="{00000000-0002-0000-0000-000000000000}">
      <formula1>"Avoid,Mitigate,Accept"</formula1>
    </dataValidation>
  </dataValidations>
  <pageMargins left="0.7" right="0.7" top="0.75" bottom="0.75" header="0" footer="0"/>
  <pageSetup orientation="portrait"/>
  <ignoredErrors>
    <ignoredError sqref="C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1" width="5.77734375" customWidth="1"/>
    <col min="2" max="2" width="11.88671875" customWidth="1"/>
    <col min="3" max="3" width="11.21875" customWidth="1"/>
    <col min="4" max="4" width="15.44140625" customWidth="1"/>
    <col min="5" max="5" width="73.44140625" customWidth="1"/>
    <col min="6" max="6" width="10" customWidth="1"/>
    <col min="7" max="7" width="67.109375" customWidth="1"/>
    <col min="9" max="9" width="59.44140625" customWidth="1"/>
    <col min="10" max="10" width="12.6640625" customWidth="1"/>
    <col min="11" max="11" width="14.33203125" customWidth="1"/>
    <col min="12" max="12" width="14.88671875" customWidth="1"/>
    <col min="13" max="13" width="19.109375" customWidth="1"/>
    <col min="14" max="14" width="6.6640625" customWidth="1"/>
    <col min="15" max="15" width="6.77734375" customWidth="1"/>
    <col min="16" max="16" width="14.88671875" customWidth="1"/>
    <col min="17" max="17" width="13.33203125" customWidth="1"/>
    <col min="18" max="18" width="12.21875" customWidth="1"/>
    <col min="19" max="19" width="11.33203125" customWidth="1"/>
    <col min="20" max="20" width="8.88671875" customWidth="1"/>
    <col min="22" max="22" width="64.44140625" customWidth="1"/>
    <col min="23" max="23" width="15.44140625" customWidth="1"/>
    <col min="24" max="24" width="12.6640625" customWidth="1"/>
    <col min="25" max="25" width="12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1" t="s">
        <v>7</v>
      </c>
      <c r="M1" s="1" t="s">
        <v>8</v>
      </c>
      <c r="T1" s="3" t="s">
        <v>0</v>
      </c>
      <c r="U1" s="3" t="s">
        <v>1</v>
      </c>
      <c r="V1" s="3" t="s">
        <v>9</v>
      </c>
      <c r="W1" s="3" t="s">
        <v>10</v>
      </c>
      <c r="X1" s="4" t="s">
        <v>11</v>
      </c>
      <c r="Y1" s="4" t="s">
        <v>12</v>
      </c>
    </row>
    <row r="2" spans="1:28" ht="15.75" customHeight="1" x14ac:dyDescent="0.25">
      <c r="A2" s="5">
        <v>1</v>
      </c>
      <c r="B2" s="6">
        <f>X2</f>
        <v>18</v>
      </c>
      <c r="C2" s="7">
        <v>13</v>
      </c>
      <c r="D2" s="8">
        <v>90</v>
      </c>
      <c r="I2" s="44" t="s">
        <v>99</v>
      </c>
      <c r="J2" s="10">
        <v>0</v>
      </c>
      <c r="K2" s="19" t="s">
        <v>14</v>
      </c>
      <c r="L2" s="12">
        <v>4</v>
      </c>
      <c r="M2" s="12">
        <v>4</v>
      </c>
      <c r="T2" s="116">
        <v>1</v>
      </c>
      <c r="U2" s="13">
        <f t="shared" ref="U2:U10" si="0">VLOOKUP(V2,$I$2:$L$29,4,FALSE)</f>
        <v>5</v>
      </c>
      <c r="V2" s="9" t="s">
        <v>15</v>
      </c>
      <c r="W2" s="24" t="str">
        <f t="shared" ref="W2:W10" si="1">VLOOKUP(V2,$I$2:$L$29,3,FALSE)</f>
        <v>All Team</v>
      </c>
      <c r="X2" s="125">
        <f>SUM(U2:U7)</f>
        <v>18</v>
      </c>
      <c r="Y2" s="15">
        <v>5</v>
      </c>
    </row>
    <row r="3" spans="1:28" ht="15.75" customHeight="1" x14ac:dyDescent="0.25">
      <c r="A3" s="5">
        <v>2</v>
      </c>
      <c r="B3" s="16">
        <f>B2+X8</f>
        <v>36</v>
      </c>
      <c r="C3" s="7">
        <f>C2+11</f>
        <v>24</v>
      </c>
      <c r="D3" s="17"/>
      <c r="I3" s="24" t="s">
        <v>100</v>
      </c>
      <c r="J3" s="10">
        <v>1</v>
      </c>
      <c r="K3" s="19" t="s">
        <v>26</v>
      </c>
      <c r="L3" s="12">
        <v>4</v>
      </c>
      <c r="M3" s="12">
        <v>4</v>
      </c>
      <c r="T3" s="113"/>
      <c r="U3" s="13">
        <f t="shared" si="0"/>
        <v>4</v>
      </c>
      <c r="V3" s="73" t="s">
        <v>101</v>
      </c>
      <c r="W3" s="24" t="str">
        <f t="shared" si="1"/>
        <v>El-Gohary</v>
      </c>
      <c r="X3" s="123"/>
      <c r="Y3" s="15">
        <v>4</v>
      </c>
    </row>
    <row r="4" spans="1:28" ht="15.75" customHeight="1" x14ac:dyDescent="0.25">
      <c r="A4" s="5">
        <v>3</v>
      </c>
      <c r="B4" s="16">
        <f>B3+X14</f>
        <v>51</v>
      </c>
      <c r="C4" s="7">
        <f>C3+12</f>
        <v>36</v>
      </c>
      <c r="D4" s="17"/>
      <c r="I4" s="24" t="s">
        <v>102</v>
      </c>
      <c r="J4" s="10">
        <v>1</v>
      </c>
      <c r="K4" s="19" t="s">
        <v>26</v>
      </c>
      <c r="L4" s="12">
        <v>3</v>
      </c>
      <c r="M4" s="12">
        <v>3</v>
      </c>
      <c r="P4" s="130"/>
      <c r="Q4" s="131" t="s">
        <v>188</v>
      </c>
      <c r="R4" s="132"/>
      <c r="T4" s="113"/>
      <c r="U4" s="13">
        <f t="shared" si="0"/>
        <v>3</v>
      </c>
      <c r="V4" s="24" t="s">
        <v>102</v>
      </c>
      <c r="W4" s="24" t="str">
        <f t="shared" si="1"/>
        <v>Hager</v>
      </c>
      <c r="X4" s="123"/>
      <c r="Y4" s="15">
        <v>3</v>
      </c>
    </row>
    <row r="5" spans="1:28" ht="15.75" customHeight="1" x14ac:dyDescent="0.25">
      <c r="A5" s="5">
        <v>4</v>
      </c>
      <c r="B5" s="16">
        <f>B4+X20</f>
        <v>64</v>
      </c>
      <c r="C5" s="7">
        <f>C4+7</f>
        <v>43</v>
      </c>
      <c r="D5" s="17"/>
      <c r="I5" s="24" t="s">
        <v>103</v>
      </c>
      <c r="J5" s="10">
        <v>0</v>
      </c>
      <c r="K5" s="19" t="s">
        <v>104</v>
      </c>
      <c r="L5" s="12">
        <v>2</v>
      </c>
      <c r="M5" s="12">
        <v>2</v>
      </c>
      <c r="P5" s="131" t="s">
        <v>6</v>
      </c>
      <c r="Q5" s="130" t="s">
        <v>19</v>
      </c>
      <c r="R5" s="133" t="s">
        <v>20</v>
      </c>
      <c r="T5" s="113"/>
      <c r="U5" s="13">
        <f t="shared" si="0"/>
        <v>2</v>
      </c>
      <c r="V5" s="24" t="s">
        <v>105</v>
      </c>
      <c r="W5" s="24" t="str">
        <f t="shared" si="1"/>
        <v xml:space="preserve">Ganna &amp; Hazem </v>
      </c>
      <c r="X5" s="123"/>
      <c r="Y5" s="15">
        <v>2</v>
      </c>
      <c r="AB5" s="22"/>
    </row>
    <row r="6" spans="1:28" ht="15.75" customHeight="1" x14ac:dyDescent="0.25">
      <c r="A6" s="5">
        <v>5</v>
      </c>
      <c r="B6" s="16">
        <f>B5+X24</f>
        <v>78</v>
      </c>
      <c r="C6" s="7">
        <f>C5+14</f>
        <v>57</v>
      </c>
      <c r="D6" s="17"/>
      <c r="I6" s="24" t="s">
        <v>106</v>
      </c>
      <c r="J6" s="10">
        <v>1</v>
      </c>
      <c r="K6" s="19" t="s">
        <v>104</v>
      </c>
      <c r="L6" s="12">
        <v>2</v>
      </c>
      <c r="M6" s="12">
        <v>2</v>
      </c>
      <c r="P6" s="130" t="s">
        <v>14</v>
      </c>
      <c r="Q6" s="134">
        <v>4</v>
      </c>
      <c r="R6" s="135">
        <v>4</v>
      </c>
      <c r="T6" s="113"/>
      <c r="U6" s="13">
        <f t="shared" si="0"/>
        <v>2</v>
      </c>
      <c r="V6" s="24" t="s">
        <v>107</v>
      </c>
      <c r="W6" s="24" t="str">
        <f t="shared" si="1"/>
        <v>Jana</v>
      </c>
      <c r="X6" s="123"/>
      <c r="Y6" s="15">
        <v>4</v>
      </c>
    </row>
    <row r="7" spans="1:28" ht="15.75" customHeight="1" x14ac:dyDescent="0.25">
      <c r="A7" s="5">
        <v>6</v>
      </c>
      <c r="B7" s="16">
        <f t="shared" ref="B7:B8" si="2">B6+X26</f>
        <v>89</v>
      </c>
      <c r="C7" s="7">
        <f>C6+7</f>
        <v>64</v>
      </c>
      <c r="D7" s="17"/>
      <c r="I7" s="24" t="s">
        <v>108</v>
      </c>
      <c r="J7" s="10">
        <v>0</v>
      </c>
      <c r="K7" s="19" t="s">
        <v>104</v>
      </c>
      <c r="L7" s="12">
        <v>3</v>
      </c>
      <c r="M7" s="12">
        <v>2</v>
      </c>
      <c r="P7" s="136" t="s">
        <v>18</v>
      </c>
      <c r="Q7" s="137">
        <v>18</v>
      </c>
      <c r="R7" s="138">
        <v>18</v>
      </c>
      <c r="T7" s="126"/>
      <c r="U7" s="13">
        <f t="shared" si="0"/>
        <v>2</v>
      </c>
      <c r="V7" s="24" t="s">
        <v>106</v>
      </c>
      <c r="W7" s="24" t="str">
        <f t="shared" si="1"/>
        <v>Jana</v>
      </c>
      <c r="X7" s="124"/>
      <c r="Y7" s="15">
        <v>4</v>
      </c>
    </row>
    <row r="8" spans="1:28" ht="15.75" customHeight="1" x14ac:dyDescent="0.25">
      <c r="A8" s="5">
        <v>7</v>
      </c>
      <c r="B8" s="16">
        <f t="shared" si="2"/>
        <v>89</v>
      </c>
      <c r="C8" s="7">
        <v>89</v>
      </c>
      <c r="D8" s="17"/>
      <c r="I8" s="24" t="s">
        <v>109</v>
      </c>
      <c r="J8" s="10">
        <v>0</v>
      </c>
      <c r="K8" s="19" t="s">
        <v>104</v>
      </c>
      <c r="L8" s="12">
        <v>1</v>
      </c>
      <c r="M8" s="12">
        <v>2</v>
      </c>
      <c r="P8" s="136" t="s">
        <v>24</v>
      </c>
      <c r="Q8" s="137">
        <v>16</v>
      </c>
      <c r="R8" s="138">
        <v>16</v>
      </c>
      <c r="T8" s="109">
        <v>2</v>
      </c>
      <c r="U8" s="13">
        <f t="shared" si="0"/>
        <v>3</v>
      </c>
      <c r="V8" s="24" t="s">
        <v>111</v>
      </c>
      <c r="W8" s="24" t="str">
        <f t="shared" si="1"/>
        <v>Fatma</v>
      </c>
      <c r="X8" s="125">
        <f>SUM(U8:U13)</f>
        <v>18</v>
      </c>
      <c r="Y8" s="15">
        <v>8</v>
      </c>
    </row>
    <row r="9" spans="1:28" ht="15.75" customHeight="1" x14ac:dyDescent="0.25">
      <c r="A9" s="17"/>
      <c r="B9" s="17"/>
      <c r="C9" s="17"/>
      <c r="D9" s="17"/>
      <c r="I9" s="24" t="s">
        <v>107</v>
      </c>
      <c r="J9" s="10">
        <v>1</v>
      </c>
      <c r="K9" s="19" t="s">
        <v>104</v>
      </c>
      <c r="L9" s="12">
        <v>2</v>
      </c>
      <c r="M9" s="12">
        <v>2</v>
      </c>
      <c r="P9" s="136" t="s">
        <v>110</v>
      </c>
      <c r="Q9" s="137">
        <v>2</v>
      </c>
      <c r="R9" s="138">
        <v>2</v>
      </c>
      <c r="T9" s="110"/>
      <c r="U9" s="13">
        <f t="shared" si="0"/>
        <v>4</v>
      </c>
      <c r="V9" s="24" t="s">
        <v>100</v>
      </c>
      <c r="W9" s="24" t="str">
        <f t="shared" si="1"/>
        <v>Hager</v>
      </c>
      <c r="X9" s="123"/>
      <c r="Y9" s="15">
        <v>4</v>
      </c>
    </row>
    <row r="10" spans="1:28" ht="15.75" customHeight="1" x14ac:dyDescent="0.25">
      <c r="A10" s="17"/>
      <c r="B10" s="17"/>
      <c r="C10" s="17"/>
      <c r="D10" s="17"/>
      <c r="I10" s="24" t="s">
        <v>112</v>
      </c>
      <c r="J10" s="10">
        <v>0.5</v>
      </c>
      <c r="K10" s="19" t="s">
        <v>26</v>
      </c>
      <c r="L10" s="12">
        <v>4</v>
      </c>
      <c r="M10" s="12">
        <v>4</v>
      </c>
      <c r="P10" s="136" t="s">
        <v>26</v>
      </c>
      <c r="Q10" s="137">
        <v>17</v>
      </c>
      <c r="R10" s="138">
        <v>17</v>
      </c>
      <c r="T10" s="110"/>
      <c r="U10" s="13">
        <f t="shared" si="0"/>
        <v>3</v>
      </c>
      <c r="V10" s="24" t="s">
        <v>108</v>
      </c>
      <c r="W10" s="24" t="str">
        <f t="shared" si="1"/>
        <v>Jana</v>
      </c>
      <c r="X10" s="123"/>
      <c r="Y10" s="15">
        <v>3</v>
      </c>
    </row>
    <row r="11" spans="1:28" ht="15.75" customHeight="1" x14ac:dyDescent="0.25">
      <c r="A11" s="17"/>
      <c r="B11" s="17"/>
      <c r="C11" s="17"/>
      <c r="D11" s="17"/>
      <c r="I11" s="24" t="s">
        <v>113</v>
      </c>
      <c r="J11" s="10">
        <v>0.5</v>
      </c>
      <c r="K11" s="19" t="s">
        <v>26</v>
      </c>
      <c r="L11" s="12">
        <v>4</v>
      </c>
      <c r="M11" s="12">
        <v>4</v>
      </c>
      <c r="P11" s="136" t="s">
        <v>30</v>
      </c>
      <c r="Q11" s="137">
        <v>15</v>
      </c>
      <c r="R11" s="138">
        <v>15</v>
      </c>
      <c r="T11" s="110"/>
      <c r="U11" s="13">
        <v>3</v>
      </c>
      <c r="V11" s="24" t="s">
        <v>114</v>
      </c>
      <c r="W11" s="24" t="s">
        <v>30</v>
      </c>
      <c r="X11" s="123"/>
      <c r="Y11" s="15">
        <v>3</v>
      </c>
    </row>
    <row r="12" spans="1:28" ht="15.75" customHeight="1" x14ac:dyDescent="0.25">
      <c r="A12" s="119" t="s">
        <v>32</v>
      </c>
      <c r="B12" s="120"/>
      <c r="C12" s="120"/>
      <c r="D12" s="120"/>
      <c r="E12" s="120"/>
      <c r="F12" s="120"/>
      <c r="G12" s="121"/>
      <c r="I12" s="24" t="s">
        <v>115</v>
      </c>
      <c r="J12" s="10">
        <v>0.5</v>
      </c>
      <c r="K12" s="19" t="s">
        <v>26</v>
      </c>
      <c r="L12" s="12">
        <v>2</v>
      </c>
      <c r="M12" s="12">
        <v>2</v>
      </c>
      <c r="P12" s="136" t="s">
        <v>104</v>
      </c>
      <c r="Q12" s="137">
        <v>12</v>
      </c>
      <c r="R12" s="138">
        <v>12</v>
      </c>
      <c r="T12" s="110"/>
      <c r="U12" s="13">
        <v>3</v>
      </c>
      <c r="V12" s="24" t="s">
        <v>114</v>
      </c>
      <c r="W12" s="24" t="str">
        <f t="shared" ref="W12:W29" si="3">VLOOKUP(V12,$I$2:$L$29,3,FALSE)</f>
        <v>Ganna</v>
      </c>
      <c r="X12" s="123"/>
      <c r="Y12" s="15">
        <v>3</v>
      </c>
    </row>
    <row r="13" spans="1:28" ht="13.2" x14ac:dyDescent="0.25">
      <c r="A13" s="26" t="s">
        <v>34</v>
      </c>
      <c r="B13" s="27" t="s">
        <v>35</v>
      </c>
      <c r="C13" s="27" t="s">
        <v>36</v>
      </c>
      <c r="D13" s="27" t="s">
        <v>37</v>
      </c>
      <c r="E13" s="27" t="s">
        <v>38</v>
      </c>
      <c r="F13" s="28" t="s">
        <v>39</v>
      </c>
      <c r="G13" s="27" t="s">
        <v>40</v>
      </c>
      <c r="I13" s="24" t="s">
        <v>116</v>
      </c>
      <c r="J13" s="10">
        <v>1</v>
      </c>
      <c r="K13" s="19" t="s">
        <v>104</v>
      </c>
      <c r="L13" s="12">
        <v>2</v>
      </c>
      <c r="M13" s="12">
        <v>2</v>
      </c>
      <c r="P13" s="139" t="s">
        <v>189</v>
      </c>
      <c r="Q13" s="140">
        <v>84</v>
      </c>
      <c r="R13" s="141">
        <v>84</v>
      </c>
      <c r="T13" s="118"/>
      <c r="U13" s="13">
        <f t="shared" ref="U13:U29" si="4">VLOOKUP(V13,$I$2:$L$29,4,FALSE)</f>
        <v>2</v>
      </c>
      <c r="V13" s="24" t="s">
        <v>116</v>
      </c>
      <c r="W13" s="24" t="str">
        <f t="shared" si="3"/>
        <v>Jana</v>
      </c>
      <c r="X13" s="123"/>
      <c r="Y13" s="15">
        <v>2</v>
      </c>
    </row>
    <row r="14" spans="1:28" ht="15.75" customHeight="1" x14ac:dyDescent="0.25">
      <c r="A14" s="12" t="s">
        <v>42</v>
      </c>
      <c r="B14" s="29" t="s">
        <v>43</v>
      </c>
      <c r="C14" s="30" t="s">
        <v>44</v>
      </c>
      <c r="D14" s="30" t="s">
        <v>44</v>
      </c>
      <c r="E14" s="31" t="s">
        <v>45</v>
      </c>
      <c r="F14" s="32" t="s">
        <v>46</v>
      </c>
      <c r="G14" s="33" t="s">
        <v>47</v>
      </c>
      <c r="I14" s="24" t="s">
        <v>111</v>
      </c>
      <c r="J14" s="10">
        <v>1</v>
      </c>
      <c r="K14" s="19" t="s">
        <v>18</v>
      </c>
      <c r="L14" s="12">
        <v>3</v>
      </c>
      <c r="M14" s="12">
        <v>3</v>
      </c>
      <c r="T14" s="112">
        <v>3</v>
      </c>
      <c r="U14" s="13">
        <f t="shared" si="4"/>
        <v>3</v>
      </c>
      <c r="V14" s="24" t="s">
        <v>117</v>
      </c>
      <c r="W14" s="24" t="str">
        <f t="shared" si="3"/>
        <v>Fatma</v>
      </c>
      <c r="X14" s="122">
        <f>SUM(U14:U19)</f>
        <v>15</v>
      </c>
      <c r="Y14" s="15">
        <v>3</v>
      </c>
    </row>
    <row r="15" spans="1:28" ht="15.75" customHeight="1" x14ac:dyDescent="0.25">
      <c r="A15" s="12" t="s">
        <v>49</v>
      </c>
      <c r="B15" s="12" t="s">
        <v>43</v>
      </c>
      <c r="C15" s="19" t="s">
        <v>44</v>
      </c>
      <c r="D15" s="19" t="s">
        <v>50</v>
      </c>
      <c r="E15" s="34" t="s">
        <v>51</v>
      </c>
      <c r="F15" s="7" t="s">
        <v>52</v>
      </c>
      <c r="G15" s="35" t="s">
        <v>53</v>
      </c>
      <c r="I15" s="24" t="s">
        <v>117</v>
      </c>
      <c r="J15" s="10">
        <v>1</v>
      </c>
      <c r="K15" s="19" t="s">
        <v>18</v>
      </c>
      <c r="L15" s="12">
        <v>3</v>
      </c>
      <c r="M15" s="12">
        <v>3</v>
      </c>
      <c r="T15" s="113"/>
      <c r="U15" s="13">
        <f t="shared" si="4"/>
        <v>3</v>
      </c>
      <c r="V15" s="24" t="s">
        <v>118</v>
      </c>
      <c r="W15" s="24" t="str">
        <f t="shared" si="3"/>
        <v>Fatma</v>
      </c>
      <c r="X15" s="123"/>
      <c r="Y15" s="15">
        <v>4</v>
      </c>
    </row>
    <row r="16" spans="1:28" ht="15.75" customHeight="1" x14ac:dyDescent="0.25">
      <c r="A16" s="12" t="s">
        <v>55</v>
      </c>
      <c r="B16" s="12" t="s">
        <v>43</v>
      </c>
      <c r="C16" s="36" t="s">
        <v>44</v>
      </c>
      <c r="D16" s="36" t="s">
        <v>44</v>
      </c>
      <c r="E16" s="37" t="s">
        <v>56</v>
      </c>
      <c r="F16" s="38" t="s">
        <v>52</v>
      </c>
      <c r="G16" s="9" t="s">
        <v>57</v>
      </c>
      <c r="I16" s="24" t="s">
        <v>119</v>
      </c>
      <c r="J16" s="10">
        <v>1</v>
      </c>
      <c r="K16" s="19" t="s">
        <v>18</v>
      </c>
      <c r="L16" s="12">
        <v>3</v>
      </c>
      <c r="M16" s="12">
        <v>3</v>
      </c>
      <c r="T16" s="113"/>
      <c r="U16" s="13">
        <f t="shared" si="4"/>
        <v>2</v>
      </c>
      <c r="V16" s="24" t="s">
        <v>120</v>
      </c>
      <c r="W16" s="24" t="str">
        <f t="shared" si="3"/>
        <v>Hazem</v>
      </c>
      <c r="X16" s="123"/>
      <c r="Y16" s="15">
        <v>4</v>
      </c>
    </row>
    <row r="17" spans="1:25" ht="15.75" customHeight="1" x14ac:dyDescent="0.25">
      <c r="A17" s="12" t="s">
        <v>59</v>
      </c>
      <c r="B17" s="33" t="s">
        <v>60</v>
      </c>
      <c r="C17" s="19" t="s">
        <v>44</v>
      </c>
      <c r="D17" s="19" t="s">
        <v>50</v>
      </c>
      <c r="E17" s="39" t="s">
        <v>61</v>
      </c>
      <c r="F17" s="19" t="s">
        <v>52</v>
      </c>
      <c r="G17" s="9" t="s">
        <v>62</v>
      </c>
      <c r="I17" s="24" t="s">
        <v>118</v>
      </c>
      <c r="J17" s="10">
        <v>1</v>
      </c>
      <c r="K17" s="19" t="s">
        <v>18</v>
      </c>
      <c r="L17" s="12">
        <v>3</v>
      </c>
      <c r="M17" s="12">
        <v>3</v>
      </c>
      <c r="T17" s="113"/>
      <c r="U17" s="13">
        <f t="shared" si="4"/>
        <v>3</v>
      </c>
      <c r="V17" s="24" t="s">
        <v>121</v>
      </c>
      <c r="W17" s="24" t="str">
        <f t="shared" si="3"/>
        <v>Ganna</v>
      </c>
      <c r="X17" s="123"/>
      <c r="Y17" s="15">
        <v>3</v>
      </c>
    </row>
    <row r="18" spans="1:25" ht="15.75" customHeight="1" x14ac:dyDescent="0.25">
      <c r="A18" s="12" t="s">
        <v>64</v>
      </c>
      <c r="B18" s="12" t="s">
        <v>43</v>
      </c>
      <c r="C18" s="40" t="s">
        <v>50</v>
      </c>
      <c r="D18" s="36" t="s">
        <v>44</v>
      </c>
      <c r="E18" s="41" t="s">
        <v>65</v>
      </c>
      <c r="F18" s="42" t="s">
        <v>52</v>
      </c>
      <c r="G18" s="43" t="s">
        <v>66</v>
      </c>
      <c r="I18" s="24" t="s">
        <v>122</v>
      </c>
      <c r="J18" s="10">
        <v>1</v>
      </c>
      <c r="K18" s="19" t="s">
        <v>18</v>
      </c>
      <c r="L18" s="12">
        <v>3</v>
      </c>
      <c r="M18" s="12">
        <v>3</v>
      </c>
      <c r="T18" s="113"/>
      <c r="U18" s="13">
        <f t="shared" si="4"/>
        <v>2</v>
      </c>
      <c r="V18" s="24" t="s">
        <v>103</v>
      </c>
      <c r="W18" s="24" t="str">
        <f t="shared" si="3"/>
        <v>Jana</v>
      </c>
      <c r="X18" s="123"/>
      <c r="Y18" s="15">
        <v>2</v>
      </c>
    </row>
    <row r="19" spans="1:25" ht="15.75" customHeight="1" x14ac:dyDescent="0.25">
      <c r="A19" s="42"/>
      <c r="B19" s="42"/>
      <c r="C19" s="42"/>
      <c r="D19" s="42"/>
      <c r="E19" s="42"/>
      <c r="F19" s="42"/>
      <c r="G19" s="42"/>
      <c r="I19" s="24" t="s">
        <v>123</v>
      </c>
      <c r="J19" s="10">
        <v>1</v>
      </c>
      <c r="K19" s="19" t="s">
        <v>18</v>
      </c>
      <c r="L19" s="12">
        <v>3</v>
      </c>
      <c r="M19" s="12">
        <v>3</v>
      </c>
      <c r="T19" s="114"/>
      <c r="U19" s="13">
        <f t="shared" si="4"/>
        <v>2</v>
      </c>
      <c r="V19" s="24" t="s">
        <v>115</v>
      </c>
      <c r="W19" s="24" t="str">
        <f t="shared" si="3"/>
        <v>Hager</v>
      </c>
      <c r="X19" s="124"/>
      <c r="Y19" s="15">
        <v>2</v>
      </c>
    </row>
    <row r="20" spans="1:25" ht="15.75" customHeight="1" x14ac:dyDescent="0.25">
      <c r="A20" s="42"/>
      <c r="B20" s="42"/>
      <c r="C20" s="42"/>
      <c r="D20" s="42"/>
      <c r="E20" s="42"/>
      <c r="F20" s="42"/>
      <c r="G20" s="42"/>
      <c r="I20" s="24" t="s">
        <v>105</v>
      </c>
      <c r="J20" s="10">
        <v>1</v>
      </c>
      <c r="K20" s="19" t="s">
        <v>110</v>
      </c>
      <c r="L20" s="12">
        <v>2</v>
      </c>
      <c r="M20" s="12">
        <v>2</v>
      </c>
      <c r="T20" s="112">
        <v>4</v>
      </c>
      <c r="U20" s="13">
        <f t="shared" si="4"/>
        <v>4</v>
      </c>
      <c r="V20" s="24" t="s">
        <v>112</v>
      </c>
      <c r="W20" s="24" t="str">
        <f t="shared" si="3"/>
        <v>Hager</v>
      </c>
      <c r="X20" s="125">
        <f>SUM(U20:U23)</f>
        <v>13</v>
      </c>
      <c r="Y20" s="15">
        <v>4</v>
      </c>
    </row>
    <row r="21" spans="1:25" ht="15.75" customHeight="1" x14ac:dyDescent="0.25">
      <c r="A21" s="42"/>
      <c r="B21" s="42"/>
      <c r="C21" s="42"/>
      <c r="D21" s="42"/>
      <c r="E21" s="42"/>
      <c r="F21" s="42"/>
      <c r="G21" s="42"/>
      <c r="I21" s="24" t="s">
        <v>120</v>
      </c>
      <c r="J21" s="10">
        <v>1</v>
      </c>
      <c r="K21" s="19" t="s">
        <v>30</v>
      </c>
      <c r="L21" s="12">
        <v>2</v>
      </c>
      <c r="M21" s="12">
        <v>2</v>
      </c>
      <c r="T21" s="113"/>
      <c r="U21" s="13">
        <f t="shared" si="4"/>
        <v>3</v>
      </c>
      <c r="V21" s="24" t="s">
        <v>119</v>
      </c>
      <c r="W21" s="24" t="str">
        <f t="shared" si="3"/>
        <v>Fatma</v>
      </c>
      <c r="X21" s="123"/>
      <c r="Y21" s="15">
        <v>3</v>
      </c>
    </row>
    <row r="22" spans="1:25" ht="15.75" customHeight="1" x14ac:dyDescent="0.25">
      <c r="A22" s="42"/>
      <c r="B22" s="42"/>
      <c r="C22" s="42"/>
      <c r="D22" s="42"/>
      <c r="E22" s="42"/>
      <c r="F22" s="42"/>
      <c r="G22" s="42"/>
      <c r="I22" s="24" t="s">
        <v>121</v>
      </c>
      <c r="J22" s="10">
        <v>1</v>
      </c>
      <c r="K22" s="19" t="s">
        <v>24</v>
      </c>
      <c r="L22" s="12">
        <v>3</v>
      </c>
      <c r="M22" s="12">
        <v>3</v>
      </c>
      <c r="T22" s="113"/>
      <c r="U22" s="13">
        <f t="shared" si="4"/>
        <v>3</v>
      </c>
      <c r="V22" s="24" t="s">
        <v>124</v>
      </c>
      <c r="W22" s="24" t="str">
        <f t="shared" si="3"/>
        <v>Ganna</v>
      </c>
      <c r="X22" s="123"/>
      <c r="Y22" s="15">
        <v>4</v>
      </c>
    </row>
    <row r="23" spans="1:25" ht="15.75" customHeight="1" x14ac:dyDescent="0.25">
      <c r="A23" s="42"/>
      <c r="B23" s="42"/>
      <c r="C23" s="42"/>
      <c r="D23" s="42"/>
      <c r="E23" s="42"/>
      <c r="F23" s="42"/>
      <c r="G23" s="42"/>
      <c r="I23" s="24" t="s">
        <v>114</v>
      </c>
      <c r="J23" s="10">
        <v>1</v>
      </c>
      <c r="K23" s="19" t="s">
        <v>24</v>
      </c>
      <c r="L23" s="12">
        <v>3</v>
      </c>
      <c r="M23" s="12">
        <v>3</v>
      </c>
      <c r="T23" s="114"/>
      <c r="U23" s="13">
        <f t="shared" si="4"/>
        <v>3</v>
      </c>
      <c r="V23" s="24" t="s">
        <v>125</v>
      </c>
      <c r="W23" s="24" t="str">
        <f t="shared" si="3"/>
        <v>Hazem</v>
      </c>
      <c r="X23" s="124"/>
      <c r="Y23" s="15">
        <v>4</v>
      </c>
    </row>
    <row r="24" spans="1:25" ht="15.75" customHeight="1" x14ac:dyDescent="0.25">
      <c r="A24" s="42"/>
      <c r="B24" s="42"/>
      <c r="C24" s="42"/>
      <c r="D24" s="42"/>
      <c r="E24" s="42"/>
      <c r="F24" s="42"/>
      <c r="G24" s="42"/>
      <c r="I24" s="24" t="s">
        <v>114</v>
      </c>
      <c r="J24" s="10">
        <v>1</v>
      </c>
      <c r="K24" s="19" t="s">
        <v>30</v>
      </c>
      <c r="L24" s="12">
        <v>3</v>
      </c>
      <c r="M24" s="12">
        <v>3</v>
      </c>
      <c r="T24" s="112">
        <v>5</v>
      </c>
      <c r="U24" s="13">
        <f t="shared" si="4"/>
        <v>7</v>
      </c>
      <c r="V24" s="24" t="s">
        <v>126</v>
      </c>
      <c r="W24" s="24" t="str">
        <f t="shared" si="3"/>
        <v>Ganna</v>
      </c>
      <c r="X24" s="125">
        <f>SUM(U24:U25)</f>
        <v>14</v>
      </c>
      <c r="Y24" s="15">
        <v>10</v>
      </c>
    </row>
    <row r="25" spans="1:25" ht="15.75" customHeight="1" x14ac:dyDescent="0.25">
      <c r="A25" s="42"/>
      <c r="B25" s="42"/>
      <c r="C25" s="42"/>
      <c r="D25" s="42"/>
      <c r="E25" s="42"/>
      <c r="F25" s="42"/>
      <c r="G25" s="42"/>
      <c r="I25" s="24" t="s">
        <v>125</v>
      </c>
      <c r="J25" s="10">
        <v>1</v>
      </c>
      <c r="K25" s="19" t="s">
        <v>30</v>
      </c>
      <c r="L25" s="12">
        <v>3</v>
      </c>
      <c r="M25" s="12">
        <v>3</v>
      </c>
      <c r="T25" s="114"/>
      <c r="U25" s="13">
        <f t="shared" si="4"/>
        <v>7</v>
      </c>
      <c r="V25" s="24" t="s">
        <v>127</v>
      </c>
      <c r="W25" s="24" t="str">
        <f t="shared" si="3"/>
        <v>Hazem</v>
      </c>
      <c r="X25" s="124"/>
      <c r="Y25" s="15">
        <v>10</v>
      </c>
    </row>
    <row r="26" spans="1:25" ht="15.75" customHeight="1" x14ac:dyDescent="0.25">
      <c r="A26" s="17"/>
      <c r="B26" s="17"/>
      <c r="C26" s="17"/>
      <c r="D26" s="17"/>
      <c r="I26" s="24" t="s">
        <v>126</v>
      </c>
      <c r="J26" s="10">
        <v>1</v>
      </c>
      <c r="K26" s="12" t="s">
        <v>24</v>
      </c>
      <c r="L26" s="12">
        <v>7</v>
      </c>
      <c r="M26" s="12">
        <v>7</v>
      </c>
      <c r="T26" s="112">
        <v>6</v>
      </c>
      <c r="U26" s="13">
        <f t="shared" si="4"/>
        <v>4</v>
      </c>
      <c r="V26" s="24" t="s">
        <v>113</v>
      </c>
      <c r="W26" s="24" t="str">
        <f t="shared" si="3"/>
        <v>Hager</v>
      </c>
      <c r="X26" s="125">
        <f>SUM(U26:U29)</f>
        <v>11</v>
      </c>
      <c r="Y26" s="15">
        <v>5</v>
      </c>
    </row>
    <row r="27" spans="1:25" ht="15.75" customHeight="1" x14ac:dyDescent="0.25">
      <c r="A27" s="17"/>
      <c r="B27" s="17"/>
      <c r="C27" s="17"/>
      <c r="D27" s="17"/>
      <c r="I27" s="24" t="s">
        <v>127</v>
      </c>
      <c r="J27" s="10">
        <v>1</v>
      </c>
      <c r="K27" s="12" t="s">
        <v>30</v>
      </c>
      <c r="L27" s="12">
        <v>7</v>
      </c>
      <c r="M27" s="12">
        <v>7</v>
      </c>
      <c r="T27" s="113"/>
      <c r="U27" s="13">
        <f t="shared" si="4"/>
        <v>3</v>
      </c>
      <c r="V27" s="24" t="s">
        <v>122</v>
      </c>
      <c r="W27" s="24" t="str">
        <f t="shared" si="3"/>
        <v>Fatma</v>
      </c>
      <c r="X27" s="123"/>
      <c r="Y27" s="15">
        <v>4</v>
      </c>
    </row>
    <row r="28" spans="1:25" ht="15.75" customHeight="1" x14ac:dyDescent="0.25">
      <c r="A28" s="119" t="s">
        <v>77</v>
      </c>
      <c r="B28" s="120"/>
      <c r="C28" s="120"/>
      <c r="D28" s="120"/>
      <c r="E28" s="120"/>
      <c r="F28" s="120"/>
      <c r="G28" s="121"/>
      <c r="I28" s="24" t="s">
        <v>124</v>
      </c>
      <c r="J28" s="10">
        <v>1</v>
      </c>
      <c r="K28" s="12" t="s">
        <v>24</v>
      </c>
      <c r="L28" s="12">
        <v>3</v>
      </c>
      <c r="M28" s="12">
        <v>3</v>
      </c>
      <c r="T28" s="113"/>
      <c r="U28" s="13">
        <f t="shared" si="4"/>
        <v>3</v>
      </c>
      <c r="V28" s="24" t="s">
        <v>123</v>
      </c>
      <c r="W28" s="24" t="str">
        <f t="shared" si="3"/>
        <v>Fatma</v>
      </c>
      <c r="X28" s="123"/>
      <c r="Y28" s="15">
        <v>4</v>
      </c>
    </row>
    <row r="29" spans="1:25" ht="15.75" customHeight="1" x14ac:dyDescent="0.25">
      <c r="A29" s="26" t="s">
        <v>34</v>
      </c>
      <c r="B29" s="51" t="s">
        <v>79</v>
      </c>
      <c r="C29" s="51" t="s">
        <v>36</v>
      </c>
      <c r="D29" s="51" t="s">
        <v>37</v>
      </c>
      <c r="E29" s="52" t="s">
        <v>38</v>
      </c>
      <c r="F29" s="52" t="s">
        <v>39</v>
      </c>
      <c r="G29" s="52" t="s">
        <v>40</v>
      </c>
      <c r="I29" s="9" t="s">
        <v>15</v>
      </c>
      <c r="J29" s="10">
        <v>1</v>
      </c>
      <c r="K29" s="19" t="s">
        <v>22</v>
      </c>
      <c r="L29" s="12">
        <v>5</v>
      </c>
      <c r="M29" s="12">
        <v>5</v>
      </c>
      <c r="T29" s="114"/>
      <c r="U29" s="13">
        <f t="shared" si="4"/>
        <v>1</v>
      </c>
      <c r="V29" s="24" t="s">
        <v>109</v>
      </c>
      <c r="W29" s="24" t="str">
        <f t="shared" si="3"/>
        <v>Jana</v>
      </c>
      <c r="X29" s="124"/>
      <c r="Y29" s="15">
        <v>1</v>
      </c>
    </row>
    <row r="30" spans="1:25" ht="15.75" customHeight="1" x14ac:dyDescent="0.25">
      <c r="A30" s="19" t="s">
        <v>81</v>
      </c>
      <c r="B30" s="53" t="s">
        <v>82</v>
      </c>
      <c r="C30" s="29" t="s">
        <v>12</v>
      </c>
      <c r="D30" s="54" t="s">
        <v>44</v>
      </c>
      <c r="E30" s="55" t="s">
        <v>83</v>
      </c>
      <c r="F30" s="56" t="s">
        <v>46</v>
      </c>
      <c r="G30" s="57"/>
      <c r="K30" s="67" t="s">
        <v>98</v>
      </c>
      <c r="L30" s="12">
        <f t="shared" ref="L30:M30" si="5">SUM(L2:L29)</f>
        <v>89</v>
      </c>
      <c r="M30" s="12">
        <f t="shared" si="5"/>
        <v>89</v>
      </c>
      <c r="T30" s="74"/>
      <c r="W30" s="68" t="s">
        <v>98</v>
      </c>
      <c r="X30" s="53">
        <f t="shared" ref="X30:Y30" si="6">SUM(X2:X29)</f>
        <v>89</v>
      </c>
      <c r="Y30" s="44">
        <f t="shared" si="6"/>
        <v>112</v>
      </c>
    </row>
    <row r="31" spans="1:25" ht="15.75" customHeight="1" x14ac:dyDescent="0.25">
      <c r="A31" s="19" t="s">
        <v>85</v>
      </c>
      <c r="B31" s="58" t="s">
        <v>82</v>
      </c>
      <c r="C31" s="12" t="s">
        <v>12</v>
      </c>
      <c r="D31" s="19" t="s">
        <v>44</v>
      </c>
      <c r="E31" s="59" t="s">
        <v>86</v>
      </c>
      <c r="F31" s="60" t="s">
        <v>52</v>
      </c>
      <c r="G31" s="61" t="s">
        <v>87</v>
      </c>
      <c r="T31" s="74"/>
      <c r="U31" s="74"/>
    </row>
    <row r="32" spans="1:25" ht="15.75" customHeight="1" x14ac:dyDescent="0.25">
      <c r="A32" s="19" t="s">
        <v>89</v>
      </c>
      <c r="B32" s="58" t="s">
        <v>82</v>
      </c>
      <c r="C32" s="62" t="s">
        <v>12</v>
      </c>
      <c r="D32" s="63" t="s">
        <v>50</v>
      </c>
      <c r="E32" s="64" t="s">
        <v>90</v>
      </c>
      <c r="F32" s="38" t="s">
        <v>52</v>
      </c>
      <c r="G32" s="65" t="s">
        <v>91</v>
      </c>
      <c r="U32" s="74"/>
      <c r="W32" s="74"/>
      <c r="X32" s="74"/>
    </row>
    <row r="33" spans="1:24" ht="15.75" customHeight="1" x14ac:dyDescent="0.25">
      <c r="A33" s="19" t="s">
        <v>93</v>
      </c>
      <c r="B33" s="58" t="s">
        <v>82</v>
      </c>
      <c r="C33" s="62" t="s">
        <v>12</v>
      </c>
      <c r="D33" s="63" t="s">
        <v>44</v>
      </c>
      <c r="E33" s="66" t="s">
        <v>65</v>
      </c>
      <c r="F33" s="38" t="s">
        <v>52</v>
      </c>
      <c r="G33" s="9" t="s">
        <v>66</v>
      </c>
      <c r="U33" s="74"/>
      <c r="W33" s="74"/>
      <c r="X33" s="74"/>
    </row>
    <row r="34" spans="1:24" ht="15.75" customHeight="1" x14ac:dyDescent="0.25">
      <c r="A34" s="42"/>
      <c r="B34" s="42"/>
      <c r="C34" s="33"/>
      <c r="D34" s="33"/>
      <c r="E34" s="33"/>
      <c r="F34" s="42"/>
      <c r="G34" s="43"/>
    </row>
    <row r="35" spans="1:24" ht="15.75" customHeight="1" x14ac:dyDescent="0.25">
      <c r="A35" s="42"/>
      <c r="B35" s="42"/>
      <c r="C35" s="42"/>
      <c r="D35" s="42"/>
      <c r="E35" s="42"/>
      <c r="F35" s="42"/>
      <c r="G35" s="42"/>
    </row>
    <row r="36" spans="1:24" ht="15.75" customHeight="1" x14ac:dyDescent="0.25">
      <c r="A36" s="42"/>
      <c r="B36" s="42"/>
      <c r="C36" s="42"/>
      <c r="D36" s="42"/>
      <c r="E36" s="42"/>
      <c r="F36" s="42"/>
      <c r="G36" s="42"/>
    </row>
    <row r="37" spans="1:24" ht="15.75" customHeight="1" x14ac:dyDescent="0.25">
      <c r="A37" s="42"/>
      <c r="B37" s="42"/>
      <c r="C37" s="42"/>
      <c r="D37" s="42"/>
      <c r="E37" s="42"/>
      <c r="F37" s="42"/>
      <c r="G37" s="42"/>
    </row>
    <row r="38" spans="1:24" ht="15.75" customHeight="1" x14ac:dyDescent="0.25">
      <c r="A38" s="42"/>
      <c r="B38" s="42"/>
      <c r="C38" s="42"/>
      <c r="D38" s="42"/>
      <c r="E38" s="42"/>
      <c r="F38" s="42"/>
      <c r="G38" s="42"/>
    </row>
    <row r="39" spans="1:24" ht="15.75" customHeight="1" x14ac:dyDescent="0.25">
      <c r="A39" s="42"/>
      <c r="B39" s="42"/>
      <c r="C39" s="42"/>
      <c r="D39" s="42"/>
      <c r="E39" s="42"/>
      <c r="F39" s="42"/>
      <c r="G39" s="42"/>
    </row>
    <row r="40" spans="1:24" ht="15.75" customHeight="1" x14ac:dyDescent="0.25">
      <c r="A40" s="42"/>
      <c r="B40" s="42"/>
      <c r="C40" s="42"/>
      <c r="D40" s="42"/>
      <c r="E40" s="42"/>
      <c r="F40" s="42"/>
      <c r="G40" s="42"/>
    </row>
    <row r="41" spans="1:24" ht="15.75" customHeight="1" x14ac:dyDescent="0.25">
      <c r="A41" s="17"/>
      <c r="B41" s="17"/>
      <c r="C41" s="17"/>
      <c r="D41" s="17"/>
      <c r="L41" s="131" t="s">
        <v>6</v>
      </c>
      <c r="M41" s="142" t="s">
        <v>128</v>
      </c>
    </row>
    <row r="42" spans="1:24" ht="15.75" customHeight="1" x14ac:dyDescent="0.25">
      <c r="A42" s="17"/>
      <c r="B42" s="17"/>
      <c r="C42" s="17"/>
      <c r="D42" s="17"/>
      <c r="L42" s="130" t="s">
        <v>14</v>
      </c>
      <c r="M42" s="143">
        <v>1</v>
      </c>
    </row>
    <row r="43" spans="1:24" ht="15.75" customHeight="1" x14ac:dyDescent="0.25">
      <c r="A43" s="17"/>
      <c r="B43" s="17"/>
      <c r="C43" s="17"/>
      <c r="D43" s="17"/>
      <c r="L43" s="136" t="s">
        <v>18</v>
      </c>
      <c r="M43" s="144">
        <v>6</v>
      </c>
    </row>
    <row r="44" spans="1:24" ht="15.75" customHeight="1" x14ac:dyDescent="0.25">
      <c r="A44" s="17"/>
      <c r="B44" s="17"/>
      <c r="C44" s="17"/>
      <c r="D44" s="17"/>
      <c r="L44" s="136" t="s">
        <v>24</v>
      </c>
      <c r="M44" s="144">
        <v>4</v>
      </c>
    </row>
    <row r="45" spans="1:24" ht="15.75" customHeight="1" x14ac:dyDescent="0.25">
      <c r="A45" s="17"/>
      <c r="B45" s="17"/>
      <c r="C45" s="17"/>
      <c r="D45" s="17"/>
      <c r="L45" s="136" t="s">
        <v>110</v>
      </c>
      <c r="M45" s="144">
        <v>1</v>
      </c>
    </row>
    <row r="46" spans="1:24" ht="15.75" customHeight="1" x14ac:dyDescent="0.25">
      <c r="A46" s="17"/>
      <c r="B46" s="17"/>
      <c r="C46" s="17"/>
      <c r="D46" s="17"/>
      <c r="L46" s="136" t="s">
        <v>26</v>
      </c>
      <c r="M46" s="144">
        <v>5</v>
      </c>
    </row>
    <row r="47" spans="1:24" ht="15.75" customHeight="1" x14ac:dyDescent="0.25">
      <c r="A47" s="17"/>
      <c r="B47" s="17"/>
      <c r="C47" s="17"/>
      <c r="D47" s="17"/>
      <c r="L47" s="136" t="s">
        <v>30</v>
      </c>
      <c r="M47" s="144">
        <v>4</v>
      </c>
    </row>
    <row r="48" spans="1:24" ht="15.75" customHeight="1" x14ac:dyDescent="0.25">
      <c r="A48" s="17"/>
      <c r="B48" s="17"/>
      <c r="C48" s="17"/>
      <c r="D48" s="17"/>
      <c r="L48" s="136" t="s">
        <v>104</v>
      </c>
      <c r="M48" s="144">
        <v>6</v>
      </c>
    </row>
    <row r="49" spans="1:13" ht="15.75" customHeight="1" x14ac:dyDescent="0.25">
      <c r="A49" s="17"/>
      <c r="B49" s="17"/>
      <c r="C49" s="17"/>
      <c r="D49" s="17"/>
      <c r="L49" s="139" t="s">
        <v>189</v>
      </c>
      <c r="M49" s="145">
        <v>27</v>
      </c>
    </row>
    <row r="50" spans="1:13" ht="15.75" customHeight="1" x14ac:dyDescent="0.25">
      <c r="A50" s="17"/>
      <c r="B50" s="17"/>
      <c r="C50" s="17"/>
      <c r="D50" s="17"/>
    </row>
    <row r="51" spans="1:13" ht="15.75" customHeight="1" x14ac:dyDescent="0.25">
      <c r="A51" s="17"/>
      <c r="B51" s="17"/>
      <c r="C51" s="17"/>
      <c r="D51" s="17"/>
    </row>
    <row r="52" spans="1:13" ht="15.75" customHeight="1" x14ac:dyDescent="0.25">
      <c r="A52" s="17"/>
      <c r="B52" s="17"/>
      <c r="C52" s="17"/>
      <c r="D52" s="17"/>
    </row>
    <row r="53" spans="1:13" ht="15.75" customHeight="1" x14ac:dyDescent="0.25">
      <c r="A53" s="17"/>
      <c r="B53" s="17"/>
      <c r="C53" s="17"/>
      <c r="D53" s="17"/>
    </row>
    <row r="54" spans="1:13" ht="15.75" customHeight="1" x14ac:dyDescent="0.25">
      <c r="A54" s="17"/>
      <c r="B54" s="17"/>
      <c r="C54" s="17"/>
      <c r="D54" s="17"/>
    </row>
    <row r="55" spans="1:13" ht="15.75" customHeight="1" x14ac:dyDescent="0.25">
      <c r="A55" s="17"/>
      <c r="B55" s="17"/>
      <c r="C55" s="17"/>
      <c r="D55" s="17"/>
    </row>
    <row r="56" spans="1:13" ht="15.75" customHeight="1" x14ac:dyDescent="0.25">
      <c r="A56" s="17"/>
      <c r="B56" s="17"/>
      <c r="C56" s="17"/>
      <c r="D56" s="17"/>
    </row>
    <row r="57" spans="1:13" ht="15.75" customHeight="1" x14ac:dyDescent="0.25">
      <c r="A57" s="17"/>
      <c r="B57" s="17"/>
      <c r="C57" s="17"/>
      <c r="D57" s="17"/>
    </row>
    <row r="58" spans="1:13" ht="15.75" customHeight="1" x14ac:dyDescent="0.25">
      <c r="A58" s="17"/>
      <c r="B58" s="17"/>
      <c r="C58" s="17"/>
      <c r="D58" s="17"/>
    </row>
    <row r="59" spans="1:13" ht="15.75" customHeight="1" x14ac:dyDescent="0.25">
      <c r="A59" s="17"/>
      <c r="B59" s="17"/>
      <c r="C59" s="17"/>
      <c r="D59" s="17"/>
    </row>
    <row r="60" spans="1:13" ht="15.75" customHeight="1" x14ac:dyDescent="0.25">
      <c r="A60" s="17"/>
      <c r="B60" s="17"/>
      <c r="C60" s="17"/>
      <c r="D60" s="17"/>
    </row>
    <row r="61" spans="1:13" ht="15.75" customHeight="1" x14ac:dyDescent="0.25">
      <c r="A61" s="17"/>
      <c r="B61" s="17"/>
      <c r="C61" s="17"/>
      <c r="D61" s="17"/>
    </row>
    <row r="62" spans="1:13" ht="15.75" customHeight="1" x14ac:dyDescent="0.25">
      <c r="A62" s="17"/>
      <c r="B62" s="17"/>
      <c r="C62" s="17"/>
      <c r="D62" s="17"/>
    </row>
    <row r="63" spans="1:13" ht="15.75" customHeight="1" x14ac:dyDescent="0.25">
      <c r="A63" s="17"/>
      <c r="B63" s="17"/>
      <c r="C63" s="17"/>
      <c r="D63" s="17"/>
    </row>
    <row r="64" spans="1:13" ht="15.75" customHeight="1" x14ac:dyDescent="0.25">
      <c r="A64" s="17"/>
      <c r="B64" s="17"/>
      <c r="C64" s="17"/>
      <c r="D64" s="17"/>
    </row>
    <row r="65" spans="1:4" ht="15.75" customHeight="1" x14ac:dyDescent="0.25">
      <c r="A65" s="17"/>
      <c r="B65" s="17"/>
      <c r="C65" s="17"/>
      <c r="D65" s="17"/>
    </row>
    <row r="66" spans="1:4" ht="15.75" customHeight="1" x14ac:dyDescent="0.25">
      <c r="A66" s="17"/>
      <c r="B66" s="17"/>
      <c r="C66" s="17"/>
      <c r="D66" s="17"/>
    </row>
    <row r="67" spans="1:4" ht="15.75" customHeight="1" x14ac:dyDescent="0.25">
      <c r="A67" s="17"/>
      <c r="B67" s="17"/>
      <c r="C67" s="17"/>
      <c r="D67" s="17"/>
    </row>
    <row r="68" spans="1:4" ht="15.75" customHeight="1" x14ac:dyDescent="0.25">
      <c r="A68" s="17"/>
      <c r="B68" s="17"/>
      <c r="C68" s="17"/>
      <c r="D68" s="17"/>
    </row>
    <row r="69" spans="1:4" ht="15.75" customHeight="1" x14ac:dyDescent="0.25">
      <c r="A69" s="17"/>
      <c r="B69" s="17"/>
      <c r="C69" s="17"/>
      <c r="D69" s="17"/>
    </row>
    <row r="70" spans="1:4" ht="15.75" customHeight="1" x14ac:dyDescent="0.25">
      <c r="A70" s="17"/>
      <c r="B70" s="17"/>
      <c r="C70" s="17"/>
      <c r="D70" s="17"/>
    </row>
    <row r="71" spans="1:4" ht="15.75" customHeight="1" x14ac:dyDescent="0.25">
      <c r="A71" s="17"/>
      <c r="B71" s="17"/>
      <c r="C71" s="17"/>
      <c r="D71" s="17"/>
    </row>
    <row r="72" spans="1:4" ht="15.75" customHeight="1" x14ac:dyDescent="0.25">
      <c r="A72" s="17"/>
      <c r="B72" s="17"/>
      <c r="C72" s="17"/>
      <c r="D72" s="17"/>
    </row>
    <row r="73" spans="1:4" ht="15.75" customHeight="1" x14ac:dyDescent="0.25">
      <c r="A73" s="17"/>
      <c r="B73" s="17"/>
      <c r="C73" s="17"/>
      <c r="D73" s="17"/>
    </row>
    <row r="74" spans="1:4" ht="15.75" customHeight="1" x14ac:dyDescent="0.25">
      <c r="A74" s="17"/>
      <c r="B74" s="17"/>
      <c r="C74" s="17"/>
      <c r="D74" s="17"/>
    </row>
    <row r="75" spans="1:4" ht="15.75" customHeight="1" x14ac:dyDescent="0.25">
      <c r="A75" s="17"/>
      <c r="B75" s="17"/>
      <c r="C75" s="17"/>
      <c r="D75" s="17"/>
    </row>
    <row r="76" spans="1:4" ht="15.75" customHeight="1" x14ac:dyDescent="0.25">
      <c r="A76" s="17"/>
      <c r="B76" s="17"/>
      <c r="C76" s="17"/>
      <c r="D76" s="17"/>
    </row>
    <row r="77" spans="1:4" ht="15.75" customHeight="1" x14ac:dyDescent="0.25">
      <c r="A77" s="17"/>
      <c r="B77" s="17"/>
      <c r="C77" s="17"/>
      <c r="D77" s="17"/>
    </row>
    <row r="78" spans="1:4" ht="15.75" customHeight="1" x14ac:dyDescent="0.25">
      <c r="A78" s="17"/>
      <c r="B78" s="17"/>
      <c r="C78" s="17"/>
      <c r="D78" s="17"/>
    </row>
    <row r="79" spans="1:4" ht="15.75" customHeight="1" x14ac:dyDescent="0.25">
      <c r="A79" s="17"/>
      <c r="B79" s="17"/>
      <c r="C79" s="17"/>
      <c r="D79" s="17"/>
    </row>
    <row r="80" spans="1:4" ht="15.75" customHeight="1" x14ac:dyDescent="0.25">
      <c r="A80" s="17"/>
      <c r="B80" s="17"/>
      <c r="C80" s="17"/>
      <c r="D80" s="17"/>
    </row>
    <row r="81" spans="1:4" ht="15.75" customHeight="1" x14ac:dyDescent="0.25">
      <c r="A81" s="17"/>
      <c r="B81" s="17"/>
      <c r="C81" s="17"/>
      <c r="D81" s="17"/>
    </row>
    <row r="82" spans="1:4" ht="15.75" customHeight="1" x14ac:dyDescent="0.25">
      <c r="A82" s="17"/>
      <c r="B82" s="17"/>
      <c r="C82" s="17"/>
      <c r="D82" s="17"/>
    </row>
    <row r="83" spans="1:4" ht="15.75" customHeight="1" x14ac:dyDescent="0.25">
      <c r="A83" s="17"/>
      <c r="B83" s="17"/>
      <c r="C83" s="17"/>
      <c r="D83" s="17"/>
    </row>
    <row r="84" spans="1:4" ht="15.75" customHeight="1" x14ac:dyDescent="0.25">
      <c r="A84" s="17"/>
      <c r="B84" s="17"/>
      <c r="C84" s="17"/>
      <c r="D84" s="17"/>
    </row>
    <row r="85" spans="1:4" ht="15.75" customHeight="1" x14ac:dyDescent="0.25">
      <c r="A85" s="17"/>
      <c r="B85" s="17"/>
      <c r="C85" s="17"/>
      <c r="D85" s="17"/>
    </row>
    <row r="86" spans="1:4" ht="15.75" customHeight="1" x14ac:dyDescent="0.25">
      <c r="A86" s="17"/>
      <c r="B86" s="17"/>
      <c r="C86" s="17"/>
      <c r="D86" s="17"/>
    </row>
    <row r="87" spans="1:4" ht="15.75" customHeight="1" x14ac:dyDescent="0.25">
      <c r="A87" s="17"/>
      <c r="B87" s="17"/>
      <c r="C87" s="17"/>
      <c r="D87" s="17"/>
    </row>
    <row r="88" spans="1:4" ht="15.75" customHeight="1" x14ac:dyDescent="0.25">
      <c r="A88" s="17"/>
      <c r="B88" s="17"/>
      <c r="C88" s="17"/>
      <c r="D88" s="17"/>
    </row>
    <row r="89" spans="1:4" ht="15.75" customHeight="1" x14ac:dyDescent="0.25">
      <c r="A89" s="17"/>
      <c r="B89" s="17"/>
      <c r="C89" s="17"/>
      <c r="D89" s="17"/>
    </row>
    <row r="90" spans="1:4" ht="15.75" customHeight="1" x14ac:dyDescent="0.25">
      <c r="A90" s="17"/>
      <c r="B90" s="17"/>
      <c r="C90" s="17"/>
      <c r="D90" s="17"/>
    </row>
    <row r="91" spans="1:4" ht="15.75" customHeight="1" x14ac:dyDescent="0.25">
      <c r="A91" s="17"/>
      <c r="B91" s="17"/>
      <c r="C91" s="17"/>
      <c r="D91" s="17"/>
    </row>
    <row r="92" spans="1:4" ht="15.75" customHeight="1" x14ac:dyDescent="0.25">
      <c r="A92" s="17"/>
      <c r="B92" s="17"/>
      <c r="C92" s="17"/>
      <c r="D92" s="17"/>
    </row>
    <row r="93" spans="1:4" ht="15.75" customHeight="1" x14ac:dyDescent="0.25">
      <c r="A93" s="17"/>
      <c r="B93" s="17"/>
      <c r="C93" s="17"/>
      <c r="D93" s="17"/>
    </row>
    <row r="94" spans="1:4" ht="15.75" customHeight="1" x14ac:dyDescent="0.25">
      <c r="A94" s="17"/>
      <c r="B94" s="17"/>
      <c r="C94" s="17"/>
      <c r="D94" s="17"/>
    </row>
    <row r="95" spans="1:4" ht="15.75" customHeight="1" x14ac:dyDescent="0.25">
      <c r="A95" s="17"/>
      <c r="B95" s="17"/>
      <c r="C95" s="17"/>
      <c r="D95" s="17"/>
    </row>
    <row r="96" spans="1:4" ht="15.75" customHeight="1" x14ac:dyDescent="0.25">
      <c r="A96" s="17"/>
      <c r="B96" s="17"/>
      <c r="C96" s="17"/>
      <c r="D96" s="17"/>
    </row>
    <row r="97" spans="1:4" ht="15.75" customHeight="1" x14ac:dyDescent="0.25">
      <c r="A97" s="17"/>
      <c r="B97" s="17"/>
      <c r="C97" s="17"/>
      <c r="D97" s="17"/>
    </row>
    <row r="98" spans="1:4" ht="15.75" customHeight="1" x14ac:dyDescent="0.25">
      <c r="A98" s="17"/>
      <c r="B98" s="17"/>
      <c r="C98" s="17"/>
      <c r="D98" s="17"/>
    </row>
    <row r="99" spans="1:4" ht="15.75" customHeight="1" x14ac:dyDescent="0.25">
      <c r="A99" s="17"/>
      <c r="B99" s="17"/>
      <c r="C99" s="17"/>
      <c r="D99" s="17"/>
    </row>
    <row r="100" spans="1:4" ht="15.75" customHeight="1" x14ac:dyDescent="0.25">
      <c r="A100" s="17"/>
      <c r="B100" s="17"/>
      <c r="C100" s="17"/>
      <c r="D100" s="17"/>
    </row>
    <row r="101" spans="1:4" ht="15.75" customHeight="1" x14ac:dyDescent="0.25">
      <c r="A101" s="17"/>
      <c r="B101" s="17"/>
      <c r="C101" s="17"/>
      <c r="D101" s="17"/>
    </row>
    <row r="102" spans="1:4" ht="15.75" customHeight="1" x14ac:dyDescent="0.25">
      <c r="A102" s="17"/>
      <c r="B102" s="17"/>
      <c r="C102" s="17"/>
      <c r="D102" s="17"/>
    </row>
    <row r="103" spans="1:4" ht="15.75" customHeight="1" x14ac:dyDescent="0.25">
      <c r="A103" s="17"/>
      <c r="B103" s="17"/>
      <c r="C103" s="17"/>
      <c r="D103" s="17"/>
    </row>
    <row r="104" spans="1:4" ht="15.75" customHeight="1" x14ac:dyDescent="0.25">
      <c r="A104" s="17"/>
      <c r="B104" s="17"/>
      <c r="C104" s="17"/>
      <c r="D104" s="17"/>
    </row>
    <row r="105" spans="1:4" ht="15.75" customHeight="1" x14ac:dyDescent="0.25">
      <c r="A105" s="17"/>
      <c r="B105" s="17"/>
      <c r="C105" s="17"/>
      <c r="D105" s="17"/>
    </row>
    <row r="106" spans="1:4" ht="15.75" customHeight="1" x14ac:dyDescent="0.25">
      <c r="A106" s="17"/>
      <c r="B106" s="17"/>
      <c r="C106" s="17"/>
      <c r="D106" s="17"/>
    </row>
    <row r="107" spans="1:4" ht="15.75" customHeight="1" x14ac:dyDescent="0.25">
      <c r="A107" s="17"/>
      <c r="B107" s="17"/>
      <c r="C107" s="17"/>
      <c r="D107" s="17"/>
    </row>
    <row r="108" spans="1:4" ht="15.75" customHeight="1" x14ac:dyDescent="0.25">
      <c r="A108" s="17"/>
      <c r="B108" s="17"/>
      <c r="C108" s="17"/>
      <c r="D108" s="17"/>
    </row>
    <row r="109" spans="1:4" ht="15.75" customHeight="1" x14ac:dyDescent="0.25">
      <c r="A109" s="17"/>
      <c r="B109" s="17"/>
      <c r="C109" s="17"/>
      <c r="D109" s="17"/>
    </row>
    <row r="110" spans="1:4" ht="15.75" customHeight="1" x14ac:dyDescent="0.25">
      <c r="A110" s="17"/>
      <c r="B110" s="17"/>
      <c r="C110" s="17"/>
      <c r="D110" s="17"/>
    </row>
    <row r="111" spans="1:4" ht="15.75" customHeight="1" x14ac:dyDescent="0.25">
      <c r="A111" s="17"/>
      <c r="B111" s="17"/>
      <c r="C111" s="17"/>
      <c r="D111" s="17"/>
    </row>
    <row r="112" spans="1:4" ht="15.75" customHeight="1" x14ac:dyDescent="0.25">
      <c r="A112" s="17"/>
      <c r="B112" s="17"/>
      <c r="C112" s="17"/>
      <c r="D112" s="17"/>
    </row>
    <row r="113" spans="1:4" ht="15.75" customHeight="1" x14ac:dyDescent="0.25">
      <c r="A113" s="17"/>
      <c r="B113" s="17"/>
      <c r="C113" s="17"/>
      <c r="D113" s="17"/>
    </row>
    <row r="114" spans="1:4" ht="15.75" customHeight="1" x14ac:dyDescent="0.25">
      <c r="A114" s="17"/>
      <c r="B114" s="17"/>
      <c r="C114" s="17"/>
      <c r="D114" s="17"/>
    </row>
    <row r="115" spans="1:4" ht="15.75" customHeight="1" x14ac:dyDescent="0.25">
      <c r="A115" s="17"/>
      <c r="B115" s="17"/>
      <c r="C115" s="17"/>
      <c r="D115" s="17"/>
    </row>
    <row r="116" spans="1:4" ht="15.75" customHeight="1" x14ac:dyDescent="0.25">
      <c r="A116" s="17"/>
      <c r="B116" s="17"/>
      <c r="C116" s="17"/>
      <c r="D116" s="17"/>
    </row>
    <row r="117" spans="1:4" ht="15.75" customHeight="1" x14ac:dyDescent="0.25">
      <c r="A117" s="17"/>
      <c r="B117" s="17"/>
      <c r="C117" s="17"/>
      <c r="D117" s="17"/>
    </row>
    <row r="118" spans="1:4" ht="15.75" customHeight="1" x14ac:dyDescent="0.25">
      <c r="A118" s="17"/>
      <c r="B118" s="17"/>
      <c r="C118" s="17"/>
      <c r="D118" s="17"/>
    </row>
    <row r="119" spans="1:4" ht="15.75" customHeight="1" x14ac:dyDescent="0.25">
      <c r="A119" s="17"/>
      <c r="B119" s="17"/>
      <c r="C119" s="17"/>
      <c r="D119" s="17"/>
    </row>
    <row r="120" spans="1:4" ht="15.75" customHeight="1" x14ac:dyDescent="0.25">
      <c r="A120" s="17"/>
      <c r="B120" s="17"/>
      <c r="C120" s="17"/>
      <c r="D120" s="17"/>
    </row>
    <row r="121" spans="1:4" ht="15.75" customHeight="1" x14ac:dyDescent="0.25">
      <c r="A121" s="17"/>
      <c r="B121" s="17"/>
      <c r="C121" s="17"/>
      <c r="D121" s="17"/>
    </row>
    <row r="122" spans="1:4" ht="15.75" customHeight="1" x14ac:dyDescent="0.25">
      <c r="A122" s="17"/>
      <c r="B122" s="17"/>
      <c r="C122" s="17"/>
      <c r="D122" s="17"/>
    </row>
    <row r="123" spans="1:4" ht="15.75" customHeight="1" x14ac:dyDescent="0.25">
      <c r="A123" s="17"/>
      <c r="B123" s="17"/>
      <c r="C123" s="17"/>
      <c r="D123" s="17"/>
    </row>
    <row r="124" spans="1:4" ht="15.75" customHeight="1" x14ac:dyDescent="0.25">
      <c r="A124" s="17"/>
      <c r="B124" s="17"/>
      <c r="C124" s="17"/>
      <c r="D124" s="17"/>
    </row>
    <row r="125" spans="1:4" ht="15.75" customHeight="1" x14ac:dyDescent="0.25">
      <c r="A125" s="17"/>
      <c r="B125" s="17"/>
      <c r="C125" s="17"/>
      <c r="D125" s="17"/>
    </row>
    <row r="126" spans="1:4" ht="15.75" customHeight="1" x14ac:dyDescent="0.25">
      <c r="A126" s="17"/>
      <c r="B126" s="17"/>
      <c r="C126" s="17"/>
      <c r="D126" s="17"/>
    </row>
    <row r="127" spans="1:4" ht="15.75" customHeight="1" x14ac:dyDescent="0.25">
      <c r="A127" s="17"/>
      <c r="B127" s="17"/>
      <c r="C127" s="17"/>
      <c r="D127" s="17"/>
    </row>
    <row r="128" spans="1:4" ht="15.75" customHeight="1" x14ac:dyDescent="0.25">
      <c r="A128" s="17"/>
      <c r="B128" s="17"/>
      <c r="C128" s="17"/>
      <c r="D128" s="17"/>
    </row>
    <row r="129" spans="1:4" ht="15.75" customHeight="1" x14ac:dyDescent="0.25">
      <c r="A129" s="17"/>
      <c r="B129" s="17"/>
      <c r="C129" s="17"/>
      <c r="D129" s="17"/>
    </row>
    <row r="130" spans="1:4" ht="15.75" customHeight="1" x14ac:dyDescent="0.25">
      <c r="A130" s="17"/>
      <c r="B130" s="17"/>
      <c r="C130" s="17"/>
      <c r="D130" s="17"/>
    </row>
    <row r="131" spans="1:4" ht="15.75" customHeight="1" x14ac:dyDescent="0.25">
      <c r="A131" s="17"/>
      <c r="B131" s="17"/>
      <c r="C131" s="17"/>
      <c r="D131" s="17"/>
    </row>
    <row r="132" spans="1:4" ht="15.75" customHeight="1" x14ac:dyDescent="0.25">
      <c r="A132" s="17"/>
      <c r="B132" s="17"/>
      <c r="C132" s="17"/>
      <c r="D132" s="17"/>
    </row>
    <row r="133" spans="1:4" ht="15.75" customHeight="1" x14ac:dyDescent="0.25">
      <c r="A133" s="17"/>
      <c r="B133" s="17"/>
      <c r="C133" s="17"/>
      <c r="D133" s="17"/>
    </row>
    <row r="134" spans="1:4" ht="15.75" customHeight="1" x14ac:dyDescent="0.25">
      <c r="A134" s="17"/>
      <c r="B134" s="17"/>
      <c r="C134" s="17"/>
      <c r="D134" s="17"/>
    </row>
    <row r="135" spans="1:4" ht="15.75" customHeight="1" x14ac:dyDescent="0.25">
      <c r="A135" s="17"/>
      <c r="B135" s="17"/>
      <c r="C135" s="17"/>
      <c r="D135" s="17"/>
    </row>
    <row r="136" spans="1:4" ht="15.75" customHeight="1" x14ac:dyDescent="0.25">
      <c r="A136" s="17"/>
      <c r="B136" s="17"/>
      <c r="C136" s="17"/>
      <c r="D136" s="17"/>
    </row>
    <row r="137" spans="1:4" ht="15.75" customHeight="1" x14ac:dyDescent="0.25">
      <c r="A137" s="17"/>
      <c r="B137" s="17"/>
      <c r="C137" s="17"/>
      <c r="D137" s="17"/>
    </row>
    <row r="138" spans="1:4" ht="15.75" customHeight="1" x14ac:dyDescent="0.25">
      <c r="A138" s="17"/>
      <c r="B138" s="17"/>
      <c r="C138" s="17"/>
      <c r="D138" s="17"/>
    </row>
    <row r="139" spans="1:4" ht="15.75" customHeight="1" x14ac:dyDescent="0.25">
      <c r="A139" s="17"/>
      <c r="B139" s="17"/>
      <c r="C139" s="17"/>
      <c r="D139" s="17"/>
    </row>
    <row r="140" spans="1:4" ht="15.75" customHeight="1" x14ac:dyDescent="0.25">
      <c r="A140" s="17"/>
      <c r="B140" s="17"/>
      <c r="C140" s="17"/>
      <c r="D140" s="17"/>
    </row>
    <row r="141" spans="1:4" ht="15.75" customHeight="1" x14ac:dyDescent="0.25">
      <c r="A141" s="17"/>
      <c r="B141" s="17"/>
      <c r="C141" s="17"/>
      <c r="D141" s="17"/>
    </row>
    <row r="142" spans="1:4" ht="15.75" customHeight="1" x14ac:dyDescent="0.25">
      <c r="A142" s="17"/>
      <c r="B142" s="17"/>
      <c r="C142" s="17"/>
      <c r="D142" s="17"/>
    </row>
    <row r="143" spans="1:4" ht="15.75" customHeight="1" x14ac:dyDescent="0.25">
      <c r="A143" s="17"/>
      <c r="B143" s="17"/>
      <c r="C143" s="17"/>
      <c r="D143" s="17"/>
    </row>
    <row r="144" spans="1:4" ht="15.75" customHeight="1" x14ac:dyDescent="0.25">
      <c r="A144" s="17"/>
      <c r="B144" s="17"/>
      <c r="C144" s="17"/>
      <c r="D144" s="17"/>
    </row>
    <row r="145" spans="1:4" ht="15.75" customHeight="1" x14ac:dyDescent="0.25">
      <c r="A145" s="17"/>
      <c r="B145" s="17"/>
      <c r="C145" s="17"/>
      <c r="D145" s="17"/>
    </row>
    <row r="146" spans="1:4" ht="15.75" customHeight="1" x14ac:dyDescent="0.25">
      <c r="A146" s="17"/>
      <c r="B146" s="17"/>
      <c r="C146" s="17"/>
      <c r="D146" s="17"/>
    </row>
    <row r="147" spans="1:4" ht="15.75" customHeight="1" x14ac:dyDescent="0.25">
      <c r="A147" s="17"/>
      <c r="B147" s="17"/>
      <c r="C147" s="17"/>
      <c r="D147" s="17"/>
    </row>
    <row r="148" spans="1:4" ht="15.75" customHeight="1" x14ac:dyDescent="0.25">
      <c r="A148" s="17"/>
      <c r="B148" s="17"/>
      <c r="C148" s="17"/>
      <c r="D148" s="17"/>
    </row>
    <row r="149" spans="1:4" ht="15.75" customHeight="1" x14ac:dyDescent="0.25">
      <c r="A149" s="17"/>
      <c r="B149" s="17"/>
      <c r="C149" s="17"/>
      <c r="D149" s="17"/>
    </row>
    <row r="150" spans="1:4" ht="15.75" customHeight="1" x14ac:dyDescent="0.25">
      <c r="A150" s="17"/>
      <c r="B150" s="17"/>
      <c r="C150" s="17"/>
      <c r="D150" s="17"/>
    </row>
    <row r="151" spans="1:4" ht="15.75" customHeight="1" x14ac:dyDescent="0.25">
      <c r="A151" s="17"/>
      <c r="B151" s="17"/>
      <c r="C151" s="17"/>
      <c r="D151" s="17"/>
    </row>
    <row r="152" spans="1:4" ht="15.75" customHeight="1" x14ac:dyDescent="0.25">
      <c r="A152" s="17"/>
      <c r="B152" s="17"/>
      <c r="C152" s="17"/>
      <c r="D152" s="17"/>
    </row>
    <row r="153" spans="1:4" ht="15.75" customHeight="1" x14ac:dyDescent="0.25">
      <c r="A153" s="17"/>
      <c r="B153" s="17"/>
      <c r="C153" s="17"/>
      <c r="D153" s="17"/>
    </row>
    <row r="154" spans="1:4" ht="15.75" customHeight="1" x14ac:dyDescent="0.25">
      <c r="A154" s="17"/>
      <c r="B154" s="17"/>
      <c r="C154" s="17"/>
      <c r="D154" s="17"/>
    </row>
    <row r="155" spans="1:4" ht="15.75" customHeight="1" x14ac:dyDescent="0.25">
      <c r="A155" s="17"/>
      <c r="B155" s="17"/>
      <c r="C155" s="17"/>
      <c r="D155" s="17"/>
    </row>
    <row r="156" spans="1:4" ht="15.75" customHeight="1" x14ac:dyDescent="0.25">
      <c r="A156" s="17"/>
      <c r="B156" s="17"/>
      <c r="C156" s="17"/>
      <c r="D156" s="17"/>
    </row>
    <row r="157" spans="1:4" ht="15.75" customHeight="1" x14ac:dyDescent="0.25">
      <c r="A157" s="17"/>
      <c r="B157" s="17"/>
      <c r="C157" s="17"/>
      <c r="D157" s="17"/>
    </row>
    <row r="158" spans="1:4" ht="15.75" customHeight="1" x14ac:dyDescent="0.25">
      <c r="A158" s="17"/>
      <c r="B158" s="17"/>
      <c r="C158" s="17"/>
      <c r="D158" s="17"/>
    </row>
    <row r="159" spans="1:4" ht="15.75" customHeight="1" x14ac:dyDescent="0.25">
      <c r="A159" s="17"/>
      <c r="B159" s="17"/>
      <c r="C159" s="17"/>
      <c r="D159" s="17"/>
    </row>
    <row r="160" spans="1:4" ht="15.75" customHeight="1" x14ac:dyDescent="0.25">
      <c r="A160" s="17"/>
      <c r="B160" s="17"/>
      <c r="C160" s="17"/>
      <c r="D160" s="17"/>
    </row>
    <row r="161" spans="1:4" ht="15.75" customHeight="1" x14ac:dyDescent="0.25">
      <c r="A161" s="17"/>
      <c r="B161" s="17"/>
      <c r="C161" s="17"/>
      <c r="D161" s="17"/>
    </row>
    <row r="162" spans="1:4" ht="15.75" customHeight="1" x14ac:dyDescent="0.25">
      <c r="A162" s="17"/>
      <c r="B162" s="17"/>
      <c r="C162" s="17"/>
      <c r="D162" s="17"/>
    </row>
    <row r="163" spans="1:4" ht="15.75" customHeight="1" x14ac:dyDescent="0.25">
      <c r="A163" s="17"/>
      <c r="B163" s="17"/>
      <c r="C163" s="17"/>
      <c r="D163" s="17"/>
    </row>
    <row r="164" spans="1:4" ht="15.75" customHeight="1" x14ac:dyDescent="0.25">
      <c r="A164" s="17"/>
      <c r="B164" s="17"/>
      <c r="C164" s="17"/>
      <c r="D164" s="17"/>
    </row>
    <row r="165" spans="1:4" ht="15.75" customHeight="1" x14ac:dyDescent="0.25">
      <c r="A165" s="17"/>
      <c r="B165" s="17"/>
      <c r="C165" s="17"/>
      <c r="D165" s="17"/>
    </row>
    <row r="166" spans="1:4" ht="15.75" customHeight="1" x14ac:dyDescent="0.25">
      <c r="A166" s="17"/>
      <c r="B166" s="17"/>
      <c r="C166" s="17"/>
      <c r="D166" s="17"/>
    </row>
    <row r="167" spans="1:4" ht="15.75" customHeight="1" x14ac:dyDescent="0.25">
      <c r="A167" s="17"/>
      <c r="B167" s="17"/>
      <c r="C167" s="17"/>
      <c r="D167" s="17"/>
    </row>
    <row r="168" spans="1:4" ht="15.75" customHeight="1" x14ac:dyDescent="0.25">
      <c r="A168" s="17"/>
      <c r="B168" s="17"/>
      <c r="C168" s="17"/>
      <c r="D168" s="17"/>
    </row>
    <row r="169" spans="1:4" ht="15.75" customHeight="1" x14ac:dyDescent="0.25">
      <c r="A169" s="17"/>
      <c r="B169" s="17"/>
      <c r="C169" s="17"/>
      <c r="D169" s="17"/>
    </row>
    <row r="170" spans="1:4" ht="15.75" customHeight="1" x14ac:dyDescent="0.25">
      <c r="A170" s="17"/>
      <c r="B170" s="17"/>
      <c r="C170" s="17"/>
      <c r="D170" s="17"/>
    </row>
    <row r="171" spans="1:4" ht="15.75" customHeight="1" x14ac:dyDescent="0.25">
      <c r="A171" s="17"/>
      <c r="B171" s="17"/>
      <c r="C171" s="17"/>
      <c r="D171" s="17"/>
    </row>
    <row r="172" spans="1:4" ht="15.75" customHeight="1" x14ac:dyDescent="0.25">
      <c r="A172" s="17"/>
      <c r="B172" s="17"/>
      <c r="C172" s="17"/>
      <c r="D172" s="17"/>
    </row>
    <row r="173" spans="1:4" ht="15.75" customHeight="1" x14ac:dyDescent="0.25">
      <c r="A173" s="17"/>
      <c r="B173" s="17"/>
      <c r="C173" s="17"/>
      <c r="D173" s="17"/>
    </row>
    <row r="174" spans="1:4" ht="15.75" customHeight="1" x14ac:dyDescent="0.25">
      <c r="A174" s="17"/>
      <c r="B174" s="17"/>
      <c r="C174" s="17"/>
      <c r="D174" s="17"/>
    </row>
    <row r="175" spans="1:4" ht="15.75" customHeight="1" x14ac:dyDescent="0.25">
      <c r="A175" s="17"/>
      <c r="B175" s="17"/>
      <c r="C175" s="17"/>
      <c r="D175" s="17"/>
    </row>
    <row r="176" spans="1:4" ht="15.75" customHeight="1" x14ac:dyDescent="0.25">
      <c r="A176" s="17"/>
      <c r="B176" s="17"/>
      <c r="C176" s="17"/>
      <c r="D176" s="17"/>
    </row>
    <row r="177" spans="1:4" ht="15.75" customHeight="1" x14ac:dyDescent="0.25">
      <c r="A177" s="17"/>
      <c r="B177" s="17"/>
      <c r="C177" s="17"/>
      <c r="D177" s="17"/>
    </row>
    <row r="178" spans="1:4" ht="15.75" customHeight="1" x14ac:dyDescent="0.25">
      <c r="A178" s="17"/>
      <c r="B178" s="17"/>
      <c r="C178" s="17"/>
      <c r="D178" s="17"/>
    </row>
    <row r="179" spans="1:4" ht="15.75" customHeight="1" x14ac:dyDescent="0.25">
      <c r="A179" s="17"/>
      <c r="B179" s="17"/>
      <c r="C179" s="17"/>
      <c r="D179" s="17"/>
    </row>
    <row r="180" spans="1:4" ht="15.75" customHeight="1" x14ac:dyDescent="0.25">
      <c r="A180" s="17"/>
      <c r="B180" s="17"/>
      <c r="C180" s="17"/>
      <c r="D180" s="17"/>
    </row>
    <row r="181" spans="1:4" ht="15.75" customHeight="1" x14ac:dyDescent="0.25">
      <c r="A181" s="17"/>
      <c r="B181" s="17"/>
      <c r="C181" s="17"/>
      <c r="D181" s="17"/>
    </row>
    <row r="182" spans="1:4" ht="15.75" customHeight="1" x14ac:dyDescent="0.25">
      <c r="A182" s="17"/>
      <c r="B182" s="17"/>
      <c r="C182" s="17"/>
      <c r="D182" s="17"/>
    </row>
    <row r="183" spans="1:4" ht="15.75" customHeight="1" x14ac:dyDescent="0.25">
      <c r="A183" s="17"/>
      <c r="B183" s="17"/>
      <c r="C183" s="17"/>
      <c r="D183" s="17"/>
    </row>
    <row r="184" spans="1:4" ht="15.75" customHeight="1" x14ac:dyDescent="0.25">
      <c r="A184" s="17"/>
      <c r="B184" s="17"/>
      <c r="C184" s="17"/>
      <c r="D184" s="17"/>
    </row>
    <row r="185" spans="1:4" ht="15.75" customHeight="1" x14ac:dyDescent="0.25">
      <c r="A185" s="17"/>
      <c r="B185" s="17"/>
      <c r="C185" s="17"/>
      <c r="D185" s="17"/>
    </row>
    <row r="186" spans="1:4" ht="15.75" customHeight="1" x14ac:dyDescent="0.25">
      <c r="A186" s="17"/>
      <c r="B186" s="17"/>
      <c r="C186" s="17"/>
      <c r="D186" s="17"/>
    </row>
    <row r="187" spans="1:4" ht="15.75" customHeight="1" x14ac:dyDescent="0.25">
      <c r="A187" s="17"/>
      <c r="B187" s="17"/>
      <c r="C187" s="17"/>
      <c r="D187" s="17"/>
    </row>
    <row r="188" spans="1:4" ht="15.75" customHeight="1" x14ac:dyDescent="0.25">
      <c r="A188" s="17"/>
      <c r="B188" s="17"/>
      <c r="C188" s="17"/>
      <c r="D188" s="17"/>
    </row>
    <row r="189" spans="1:4" ht="15.75" customHeight="1" x14ac:dyDescent="0.25">
      <c r="A189" s="17"/>
      <c r="B189" s="17"/>
      <c r="C189" s="17"/>
      <c r="D189" s="17"/>
    </row>
    <row r="190" spans="1:4" ht="15.75" customHeight="1" x14ac:dyDescent="0.25">
      <c r="A190" s="17"/>
      <c r="B190" s="17"/>
      <c r="C190" s="17"/>
      <c r="D190" s="17"/>
    </row>
    <row r="191" spans="1:4" ht="15.75" customHeight="1" x14ac:dyDescent="0.25">
      <c r="A191" s="17"/>
      <c r="B191" s="17"/>
      <c r="C191" s="17"/>
      <c r="D191" s="17"/>
    </row>
    <row r="192" spans="1:4" ht="15.75" customHeight="1" x14ac:dyDescent="0.25">
      <c r="A192" s="17"/>
      <c r="B192" s="17"/>
      <c r="C192" s="17"/>
      <c r="D192" s="17"/>
    </row>
    <row r="193" spans="1:4" ht="15.75" customHeight="1" x14ac:dyDescent="0.25">
      <c r="A193" s="17"/>
      <c r="B193" s="17"/>
      <c r="C193" s="17"/>
      <c r="D193" s="17"/>
    </row>
    <row r="194" spans="1:4" ht="15.75" customHeight="1" x14ac:dyDescent="0.25">
      <c r="A194" s="17"/>
      <c r="B194" s="17"/>
      <c r="C194" s="17"/>
      <c r="D194" s="17"/>
    </row>
    <row r="195" spans="1:4" ht="15.75" customHeight="1" x14ac:dyDescent="0.25">
      <c r="A195" s="17"/>
      <c r="B195" s="17"/>
      <c r="C195" s="17"/>
      <c r="D195" s="17"/>
    </row>
    <row r="196" spans="1:4" ht="15.75" customHeight="1" x14ac:dyDescent="0.25">
      <c r="A196" s="17"/>
      <c r="B196" s="17"/>
      <c r="C196" s="17"/>
      <c r="D196" s="17"/>
    </row>
    <row r="197" spans="1:4" ht="15.75" customHeight="1" x14ac:dyDescent="0.25">
      <c r="A197" s="17"/>
      <c r="B197" s="17"/>
      <c r="C197" s="17"/>
      <c r="D197" s="17"/>
    </row>
    <row r="198" spans="1:4" ht="15.75" customHeight="1" x14ac:dyDescent="0.25">
      <c r="A198" s="17"/>
      <c r="B198" s="17"/>
      <c r="C198" s="17"/>
      <c r="D198" s="17"/>
    </row>
    <row r="199" spans="1:4" ht="15.75" customHeight="1" x14ac:dyDescent="0.25">
      <c r="A199" s="17"/>
      <c r="B199" s="17"/>
      <c r="C199" s="17"/>
      <c r="D199" s="17"/>
    </row>
    <row r="200" spans="1:4" ht="15.75" customHeight="1" x14ac:dyDescent="0.25">
      <c r="A200" s="17"/>
      <c r="B200" s="17"/>
      <c r="C200" s="17"/>
      <c r="D200" s="17"/>
    </row>
    <row r="201" spans="1:4" ht="15.75" customHeight="1" x14ac:dyDescent="0.25">
      <c r="A201" s="17"/>
      <c r="B201" s="17"/>
      <c r="C201" s="17"/>
      <c r="D201" s="17"/>
    </row>
    <row r="202" spans="1:4" ht="15.75" customHeight="1" x14ac:dyDescent="0.25">
      <c r="A202" s="17"/>
      <c r="B202" s="17"/>
      <c r="C202" s="17"/>
      <c r="D202" s="17"/>
    </row>
    <row r="203" spans="1:4" ht="15.75" customHeight="1" x14ac:dyDescent="0.25">
      <c r="A203" s="17"/>
      <c r="B203" s="17"/>
      <c r="C203" s="17"/>
      <c r="D203" s="17"/>
    </row>
    <row r="204" spans="1:4" ht="15.75" customHeight="1" x14ac:dyDescent="0.25">
      <c r="A204" s="17"/>
      <c r="B204" s="17"/>
      <c r="C204" s="17"/>
      <c r="D204" s="17"/>
    </row>
    <row r="205" spans="1:4" ht="15.75" customHeight="1" x14ac:dyDescent="0.25">
      <c r="A205" s="17"/>
      <c r="B205" s="17"/>
      <c r="C205" s="17"/>
      <c r="D205" s="17"/>
    </row>
    <row r="206" spans="1:4" ht="15.75" customHeight="1" x14ac:dyDescent="0.25">
      <c r="A206" s="17"/>
      <c r="B206" s="17"/>
      <c r="C206" s="17"/>
      <c r="D206" s="17"/>
    </row>
    <row r="207" spans="1:4" ht="15.75" customHeight="1" x14ac:dyDescent="0.25">
      <c r="A207" s="17"/>
      <c r="B207" s="17"/>
      <c r="C207" s="17"/>
      <c r="D207" s="17"/>
    </row>
    <row r="208" spans="1:4" ht="15.75" customHeight="1" x14ac:dyDescent="0.25">
      <c r="A208" s="17"/>
      <c r="B208" s="17"/>
      <c r="C208" s="17"/>
      <c r="D208" s="17"/>
    </row>
    <row r="209" spans="1:4" ht="15.75" customHeight="1" x14ac:dyDescent="0.25">
      <c r="A209" s="17"/>
      <c r="B209" s="17"/>
      <c r="C209" s="17"/>
      <c r="D209" s="17"/>
    </row>
    <row r="210" spans="1:4" ht="15.75" customHeight="1" x14ac:dyDescent="0.25">
      <c r="A210" s="17"/>
      <c r="B210" s="17"/>
      <c r="C210" s="17"/>
      <c r="D210" s="17"/>
    </row>
    <row r="211" spans="1:4" ht="15.75" customHeight="1" x14ac:dyDescent="0.25">
      <c r="A211" s="17"/>
      <c r="B211" s="17"/>
      <c r="C211" s="17"/>
      <c r="D211" s="17"/>
    </row>
    <row r="212" spans="1:4" ht="15.75" customHeight="1" x14ac:dyDescent="0.25">
      <c r="A212" s="17"/>
      <c r="B212" s="17"/>
      <c r="C212" s="17"/>
      <c r="D212" s="17"/>
    </row>
    <row r="213" spans="1:4" ht="15.75" customHeight="1" x14ac:dyDescent="0.25">
      <c r="A213" s="17"/>
      <c r="B213" s="17"/>
      <c r="C213" s="17"/>
      <c r="D213" s="17"/>
    </row>
    <row r="214" spans="1:4" ht="15.75" customHeight="1" x14ac:dyDescent="0.25">
      <c r="A214" s="17"/>
      <c r="B214" s="17"/>
      <c r="C214" s="17"/>
      <c r="D214" s="17"/>
    </row>
    <row r="215" spans="1:4" ht="15.75" customHeight="1" x14ac:dyDescent="0.25">
      <c r="A215" s="17"/>
      <c r="B215" s="17"/>
      <c r="C215" s="17"/>
      <c r="D215" s="17"/>
    </row>
    <row r="216" spans="1:4" ht="15.75" customHeight="1" x14ac:dyDescent="0.25">
      <c r="A216" s="17"/>
      <c r="B216" s="17"/>
      <c r="C216" s="17"/>
      <c r="D216" s="17"/>
    </row>
    <row r="217" spans="1:4" ht="15.75" customHeight="1" x14ac:dyDescent="0.25">
      <c r="A217" s="17"/>
      <c r="B217" s="17"/>
      <c r="C217" s="17"/>
      <c r="D217" s="17"/>
    </row>
    <row r="218" spans="1:4" ht="15.75" customHeight="1" x14ac:dyDescent="0.25">
      <c r="A218" s="17"/>
      <c r="B218" s="17"/>
      <c r="C218" s="17"/>
      <c r="D218" s="17"/>
    </row>
    <row r="219" spans="1:4" ht="15.75" customHeight="1" x14ac:dyDescent="0.25">
      <c r="A219" s="17"/>
      <c r="B219" s="17"/>
      <c r="C219" s="17"/>
      <c r="D219" s="17"/>
    </row>
    <row r="220" spans="1:4" ht="15.75" customHeight="1" x14ac:dyDescent="0.25">
      <c r="A220" s="17"/>
      <c r="B220" s="17"/>
      <c r="C220" s="17"/>
      <c r="D220" s="17"/>
    </row>
    <row r="221" spans="1:4" ht="15.75" customHeight="1" x14ac:dyDescent="0.25">
      <c r="A221" s="17"/>
      <c r="B221" s="17"/>
      <c r="C221" s="17"/>
      <c r="D221" s="17"/>
    </row>
    <row r="222" spans="1:4" ht="15.75" customHeight="1" x14ac:dyDescent="0.25">
      <c r="A222" s="17"/>
      <c r="B222" s="17"/>
      <c r="C222" s="17"/>
      <c r="D222" s="17"/>
    </row>
    <row r="223" spans="1:4" ht="15.75" customHeight="1" x14ac:dyDescent="0.25">
      <c r="A223" s="17"/>
      <c r="B223" s="17"/>
      <c r="C223" s="17"/>
      <c r="D223" s="17"/>
    </row>
    <row r="224" spans="1:4" ht="15.75" customHeight="1" x14ac:dyDescent="0.25">
      <c r="A224" s="17"/>
      <c r="B224" s="17"/>
      <c r="C224" s="17"/>
      <c r="D224" s="17"/>
    </row>
    <row r="225" spans="1:4" ht="15.75" customHeight="1" x14ac:dyDescent="0.25">
      <c r="A225" s="17"/>
      <c r="B225" s="17"/>
      <c r="C225" s="17"/>
      <c r="D225" s="17"/>
    </row>
    <row r="226" spans="1:4" ht="15.75" customHeight="1" x14ac:dyDescent="0.25">
      <c r="A226" s="17"/>
      <c r="B226" s="17"/>
      <c r="C226" s="17"/>
      <c r="D226" s="17"/>
    </row>
    <row r="227" spans="1:4" ht="15.75" customHeight="1" x14ac:dyDescent="0.25">
      <c r="A227" s="17"/>
      <c r="B227" s="17"/>
      <c r="C227" s="17"/>
      <c r="D227" s="17"/>
    </row>
    <row r="228" spans="1:4" ht="15.75" customHeight="1" x14ac:dyDescent="0.25">
      <c r="A228" s="17"/>
      <c r="B228" s="17"/>
      <c r="C228" s="17"/>
      <c r="D228" s="17"/>
    </row>
    <row r="229" spans="1:4" ht="15.75" customHeight="1" x14ac:dyDescent="0.25">
      <c r="A229" s="17"/>
      <c r="B229" s="17"/>
      <c r="C229" s="17"/>
      <c r="D229" s="17"/>
    </row>
    <row r="230" spans="1:4" ht="15.75" customHeight="1" x14ac:dyDescent="0.25">
      <c r="A230" s="17"/>
      <c r="B230" s="17"/>
      <c r="C230" s="17"/>
      <c r="D230" s="17"/>
    </row>
    <row r="231" spans="1:4" ht="15.75" customHeight="1" x14ac:dyDescent="0.25">
      <c r="A231" s="17"/>
      <c r="B231" s="17"/>
      <c r="C231" s="17"/>
      <c r="D231" s="17"/>
    </row>
    <row r="232" spans="1:4" ht="15.75" customHeight="1" x14ac:dyDescent="0.25">
      <c r="A232" s="17"/>
      <c r="B232" s="17"/>
      <c r="C232" s="17"/>
      <c r="D232" s="17"/>
    </row>
    <row r="233" spans="1:4" ht="15.75" customHeight="1" x14ac:dyDescent="0.25">
      <c r="A233" s="17"/>
      <c r="B233" s="17"/>
      <c r="C233" s="17"/>
      <c r="D233" s="17"/>
    </row>
    <row r="234" spans="1:4" ht="15.75" customHeight="1" x14ac:dyDescent="0.25">
      <c r="A234" s="17"/>
      <c r="B234" s="17"/>
      <c r="C234" s="17"/>
      <c r="D234" s="17"/>
    </row>
    <row r="235" spans="1:4" ht="15.75" customHeight="1" x14ac:dyDescent="0.25">
      <c r="A235" s="17"/>
      <c r="B235" s="17"/>
      <c r="C235" s="17"/>
      <c r="D235" s="17"/>
    </row>
    <row r="236" spans="1:4" ht="15.75" customHeight="1" x14ac:dyDescent="0.25">
      <c r="A236" s="17"/>
      <c r="B236" s="17"/>
      <c r="C236" s="17"/>
      <c r="D236" s="17"/>
    </row>
    <row r="237" spans="1:4" ht="15.75" customHeight="1" x14ac:dyDescent="0.25">
      <c r="A237" s="17"/>
      <c r="B237" s="17"/>
      <c r="C237" s="17"/>
      <c r="D237" s="17"/>
    </row>
    <row r="238" spans="1:4" ht="15.75" customHeight="1" x14ac:dyDescent="0.25">
      <c r="A238" s="17"/>
      <c r="B238" s="17"/>
      <c r="C238" s="17"/>
      <c r="D238" s="17"/>
    </row>
    <row r="239" spans="1:4" ht="15.75" customHeight="1" x14ac:dyDescent="0.25">
      <c r="A239" s="17"/>
      <c r="B239" s="17"/>
      <c r="C239" s="17"/>
      <c r="D239" s="17"/>
    </row>
    <row r="240" spans="1:4" ht="15.75" customHeight="1" x14ac:dyDescent="0.25">
      <c r="A240" s="17"/>
      <c r="B240" s="17"/>
      <c r="C240" s="17"/>
      <c r="D240" s="17"/>
    </row>
    <row r="241" spans="1:4" ht="15.75" customHeight="1" x14ac:dyDescent="0.25">
      <c r="A241" s="17"/>
      <c r="B241" s="17"/>
      <c r="C241" s="17"/>
      <c r="D241" s="17"/>
    </row>
    <row r="242" spans="1:4" ht="15.75" customHeight="1" x14ac:dyDescent="0.25">
      <c r="A242" s="17"/>
      <c r="B242" s="17"/>
      <c r="C242" s="17"/>
      <c r="D242" s="17"/>
    </row>
    <row r="243" spans="1:4" ht="15.75" customHeight="1" x14ac:dyDescent="0.25">
      <c r="A243" s="17"/>
      <c r="B243" s="17"/>
      <c r="C243" s="17"/>
      <c r="D243" s="17"/>
    </row>
    <row r="244" spans="1:4" ht="15.75" customHeight="1" x14ac:dyDescent="0.25">
      <c r="A244" s="17"/>
      <c r="B244" s="17"/>
      <c r="C244" s="17"/>
      <c r="D244" s="17"/>
    </row>
    <row r="245" spans="1:4" ht="15.75" customHeight="1" x14ac:dyDescent="0.25">
      <c r="A245" s="17"/>
      <c r="B245" s="17"/>
      <c r="C245" s="17"/>
      <c r="D245" s="17"/>
    </row>
    <row r="246" spans="1:4" ht="15.75" customHeight="1" x14ac:dyDescent="0.25">
      <c r="A246" s="17"/>
      <c r="B246" s="17"/>
      <c r="C246" s="17"/>
      <c r="D246" s="17"/>
    </row>
    <row r="247" spans="1:4" ht="15.75" customHeight="1" x14ac:dyDescent="0.25">
      <c r="A247" s="17"/>
      <c r="B247" s="17"/>
      <c r="C247" s="17"/>
      <c r="D247" s="17"/>
    </row>
    <row r="248" spans="1:4" ht="15.75" customHeight="1" x14ac:dyDescent="0.25">
      <c r="A248" s="17"/>
      <c r="B248" s="17"/>
      <c r="C248" s="17"/>
      <c r="D248" s="17"/>
    </row>
    <row r="249" spans="1:4" ht="15.75" customHeight="1" x14ac:dyDescent="0.25">
      <c r="A249" s="17"/>
      <c r="B249" s="17"/>
      <c r="C249" s="17"/>
      <c r="D249" s="17"/>
    </row>
    <row r="250" spans="1:4" ht="15.75" customHeight="1" x14ac:dyDescent="0.25"/>
    <row r="251" spans="1:4" ht="15.75" customHeight="1" x14ac:dyDescent="0.25"/>
    <row r="252" spans="1:4" ht="15.75" customHeight="1" x14ac:dyDescent="0.25"/>
    <row r="253" spans="1:4" ht="15.75" customHeight="1" x14ac:dyDescent="0.25"/>
    <row r="254" spans="1:4" ht="15.75" customHeight="1" x14ac:dyDescent="0.25"/>
    <row r="255" spans="1:4" ht="15.75" customHeight="1" x14ac:dyDescent="0.25"/>
    <row r="256" spans="1: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28:G28"/>
    <mergeCell ref="T2:T7"/>
    <mergeCell ref="X2:X7"/>
    <mergeCell ref="T8:T13"/>
    <mergeCell ref="X8:X13"/>
    <mergeCell ref="A12:G12"/>
    <mergeCell ref="T14:T19"/>
    <mergeCell ref="T20:T23"/>
    <mergeCell ref="X14:X19"/>
    <mergeCell ref="X20:X23"/>
    <mergeCell ref="T24:T25"/>
    <mergeCell ref="X24:X25"/>
    <mergeCell ref="T26:T29"/>
    <mergeCell ref="X26:X29"/>
  </mergeCells>
  <dataValidations count="1">
    <dataValidation type="list" allowBlank="1" showErrorMessage="1" sqref="F14:F25 F30:F40" xr:uid="{00000000-0002-0000-0100-000000000000}">
      <formula1>"Avoid,Mitigate,Accept"</formula1>
    </dataValidation>
  </dataValidations>
  <pageMargins left="0.7" right="0.7" top="0.75" bottom="0.75" header="0" footer="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1" width="5.77734375" customWidth="1"/>
    <col min="2" max="2" width="11.88671875" customWidth="1"/>
    <col min="3" max="3" width="11.21875" customWidth="1"/>
    <col min="4" max="4" width="15.44140625" customWidth="1"/>
    <col min="5" max="5" width="73.44140625" customWidth="1"/>
    <col min="6" max="6" width="10" customWidth="1"/>
    <col min="7" max="7" width="67.109375" customWidth="1"/>
    <col min="9" max="9" width="59.44140625" customWidth="1"/>
    <col min="10" max="10" width="12.6640625" customWidth="1"/>
    <col min="11" max="11" width="14.33203125" customWidth="1"/>
    <col min="14" max="14" width="9" customWidth="1"/>
    <col min="15" max="15" width="8.33203125" customWidth="1"/>
    <col min="16" max="17" width="13.33203125" customWidth="1"/>
    <col min="18" max="18" width="12.21875" customWidth="1"/>
    <col min="20" max="20" width="8.88671875" customWidth="1"/>
    <col min="22" max="22" width="64.44140625" customWidth="1"/>
    <col min="25" max="25" width="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1" t="s">
        <v>7</v>
      </c>
      <c r="M1" s="1" t="s">
        <v>8</v>
      </c>
      <c r="T1" s="3" t="s">
        <v>0</v>
      </c>
      <c r="U1" s="3" t="s">
        <v>1</v>
      </c>
      <c r="V1" s="3" t="s">
        <v>9</v>
      </c>
      <c r="W1" s="3" t="s">
        <v>10</v>
      </c>
      <c r="X1" s="4" t="s">
        <v>11</v>
      </c>
    </row>
    <row r="2" spans="1:28" ht="15.75" customHeight="1" x14ac:dyDescent="0.25">
      <c r="A2" s="5">
        <v>1</v>
      </c>
      <c r="B2" s="6">
        <f>X2</f>
        <v>13</v>
      </c>
      <c r="C2" s="7">
        <f>L2+L36</f>
        <v>7</v>
      </c>
      <c r="D2" s="8">
        <v>95</v>
      </c>
      <c r="I2" s="75" t="s">
        <v>99</v>
      </c>
      <c r="J2" s="76">
        <v>1</v>
      </c>
      <c r="K2" s="77" t="s">
        <v>18</v>
      </c>
      <c r="L2" s="12">
        <v>2</v>
      </c>
      <c r="M2" s="12">
        <v>2</v>
      </c>
      <c r="T2" s="127">
        <v>1</v>
      </c>
      <c r="U2" s="13">
        <f t="shared" ref="U2:U36" si="0">VLOOKUP(V2,$I$2:$L$36,4,FALSE)</f>
        <v>2</v>
      </c>
      <c r="V2" s="24" t="s">
        <v>99</v>
      </c>
      <c r="W2" s="24" t="str">
        <f t="shared" ref="W2:W36" si="1">VLOOKUP(V2,$I$2:$L$36,3,FALSE)</f>
        <v>Fatma</v>
      </c>
      <c r="X2" s="117">
        <f>SUM(U2:U6)</f>
        <v>13</v>
      </c>
      <c r="AB2" s="73" t="s">
        <v>129</v>
      </c>
    </row>
    <row r="3" spans="1:28" ht="15.75" customHeight="1" x14ac:dyDescent="0.25">
      <c r="A3" s="5">
        <v>2</v>
      </c>
      <c r="B3" s="16">
        <f>B2+X7</f>
        <v>32</v>
      </c>
      <c r="C3" s="7">
        <f>C2+7+2+2+2</f>
        <v>20</v>
      </c>
      <c r="D3" s="17"/>
      <c r="I3" s="75" t="s">
        <v>130</v>
      </c>
      <c r="J3" s="76">
        <v>1</v>
      </c>
      <c r="K3" s="77" t="s">
        <v>24</v>
      </c>
      <c r="L3" s="12">
        <v>2</v>
      </c>
      <c r="M3" s="12">
        <v>2</v>
      </c>
      <c r="T3" s="128"/>
      <c r="U3" s="13">
        <f t="shared" si="0"/>
        <v>3</v>
      </c>
      <c r="V3" s="24" t="s">
        <v>131</v>
      </c>
      <c r="W3" s="24" t="str">
        <f t="shared" si="1"/>
        <v>Ganna</v>
      </c>
      <c r="X3" s="110"/>
      <c r="AB3" s="73" t="s">
        <v>132</v>
      </c>
    </row>
    <row r="4" spans="1:28" ht="15.75" customHeight="1" x14ac:dyDescent="0.25">
      <c r="A4" s="5">
        <v>3</v>
      </c>
      <c r="B4" s="16">
        <f>B3+X16</f>
        <v>60</v>
      </c>
      <c r="C4" s="7">
        <f>C3+2+2+3+1.5+1.5+10+3+2+4</f>
        <v>49</v>
      </c>
      <c r="D4" s="17"/>
      <c r="I4" s="75" t="s">
        <v>131</v>
      </c>
      <c r="J4" s="76">
        <v>1</v>
      </c>
      <c r="K4" s="77" t="s">
        <v>24</v>
      </c>
      <c r="L4" s="12">
        <v>3</v>
      </c>
      <c r="M4" s="12">
        <v>3</v>
      </c>
      <c r="P4" s="130"/>
      <c r="Q4" s="131" t="s">
        <v>188</v>
      </c>
      <c r="R4" s="132"/>
      <c r="T4" s="128"/>
      <c r="U4" s="13">
        <f t="shared" si="0"/>
        <v>1.5</v>
      </c>
      <c r="V4" s="24" t="s">
        <v>17</v>
      </c>
      <c r="W4" s="24" t="str">
        <f t="shared" si="1"/>
        <v>Fatma</v>
      </c>
      <c r="X4" s="110"/>
      <c r="AB4" s="73" t="s">
        <v>133</v>
      </c>
    </row>
    <row r="5" spans="1:28" ht="15.75" customHeight="1" x14ac:dyDescent="0.25">
      <c r="A5" s="5">
        <v>4</v>
      </c>
      <c r="B5" s="16">
        <f>B4+X26</f>
        <v>72</v>
      </c>
      <c r="C5" s="7">
        <f>C4+10+2+2+2</f>
        <v>65</v>
      </c>
      <c r="D5" s="17"/>
      <c r="I5" s="75" t="s">
        <v>134</v>
      </c>
      <c r="J5" s="76">
        <v>1</v>
      </c>
      <c r="K5" s="77" t="s">
        <v>14</v>
      </c>
      <c r="L5" s="12">
        <v>3</v>
      </c>
      <c r="M5" s="12">
        <v>3</v>
      </c>
      <c r="P5" s="131" t="s">
        <v>6</v>
      </c>
      <c r="Q5" s="130" t="s">
        <v>19</v>
      </c>
      <c r="R5" s="133" t="s">
        <v>20</v>
      </c>
      <c r="T5" s="128"/>
      <c r="U5" s="13">
        <f t="shared" si="0"/>
        <v>1.5</v>
      </c>
      <c r="V5" s="24" t="s">
        <v>21</v>
      </c>
      <c r="W5" s="24" t="str">
        <f t="shared" si="1"/>
        <v>Fatma</v>
      </c>
      <c r="X5" s="110"/>
      <c r="AB5" s="22" t="s">
        <v>135</v>
      </c>
    </row>
    <row r="6" spans="1:28" ht="15.75" customHeight="1" x14ac:dyDescent="0.25">
      <c r="A6" s="5">
        <v>5</v>
      </c>
      <c r="B6" s="16">
        <f>B5+X31</f>
        <v>86</v>
      </c>
      <c r="C6" s="7">
        <f>C5+L3+L12+L15+L27+L32</f>
        <v>80</v>
      </c>
      <c r="D6" s="17"/>
      <c r="I6" s="75" t="s">
        <v>13</v>
      </c>
      <c r="J6" s="76">
        <v>1</v>
      </c>
      <c r="K6" s="77" t="s">
        <v>18</v>
      </c>
      <c r="L6" s="12">
        <v>2</v>
      </c>
      <c r="M6" s="12">
        <v>2</v>
      </c>
      <c r="P6" s="130" t="s">
        <v>14</v>
      </c>
      <c r="Q6" s="134">
        <v>14</v>
      </c>
      <c r="R6" s="135">
        <v>14</v>
      </c>
      <c r="T6" s="129"/>
      <c r="U6" s="13">
        <f t="shared" si="0"/>
        <v>5</v>
      </c>
      <c r="V6" s="24" t="s">
        <v>15</v>
      </c>
      <c r="W6" s="24" t="str">
        <f t="shared" si="1"/>
        <v>All Team</v>
      </c>
      <c r="X6" s="111"/>
    </row>
    <row r="7" spans="1:28" ht="15.75" customHeight="1" x14ac:dyDescent="0.25">
      <c r="A7" s="5">
        <v>6</v>
      </c>
      <c r="B7" s="16">
        <f>B6+X34</f>
        <v>93</v>
      </c>
      <c r="C7" s="7">
        <f>C6+L5+L11+L14+L27</f>
        <v>93</v>
      </c>
      <c r="D7" s="17"/>
      <c r="I7" s="75" t="s">
        <v>16</v>
      </c>
      <c r="J7" s="76">
        <v>1</v>
      </c>
      <c r="K7" s="77" t="s">
        <v>18</v>
      </c>
      <c r="L7" s="12">
        <v>2</v>
      </c>
      <c r="M7" s="12">
        <v>2</v>
      </c>
      <c r="P7" s="136" t="s">
        <v>18</v>
      </c>
      <c r="Q7" s="137">
        <v>14</v>
      </c>
      <c r="R7" s="138">
        <v>14</v>
      </c>
      <c r="T7" s="116">
        <v>2</v>
      </c>
      <c r="U7" s="13">
        <f t="shared" si="0"/>
        <v>2</v>
      </c>
      <c r="V7" s="24" t="s">
        <v>136</v>
      </c>
      <c r="W7" s="24" t="str">
        <f t="shared" si="1"/>
        <v>El-Gohary</v>
      </c>
      <c r="X7" s="117">
        <f>SUM(U7:U15)</f>
        <v>19</v>
      </c>
    </row>
    <row r="8" spans="1:28" ht="15.75" customHeight="1" x14ac:dyDescent="0.25">
      <c r="A8" s="17"/>
      <c r="B8" s="17"/>
      <c r="C8" s="17"/>
      <c r="D8" s="17"/>
      <c r="I8" s="75" t="s">
        <v>17</v>
      </c>
      <c r="J8" s="76">
        <v>1</v>
      </c>
      <c r="K8" s="77" t="s">
        <v>18</v>
      </c>
      <c r="L8" s="12">
        <v>1.5</v>
      </c>
      <c r="M8" s="12">
        <v>1.5</v>
      </c>
      <c r="P8" s="136" t="s">
        <v>24</v>
      </c>
      <c r="Q8" s="137">
        <v>18</v>
      </c>
      <c r="R8" s="138">
        <v>18</v>
      </c>
      <c r="T8" s="113"/>
      <c r="U8" s="13">
        <f t="shared" si="0"/>
        <v>2</v>
      </c>
      <c r="V8" s="24" t="s">
        <v>137</v>
      </c>
      <c r="W8" s="24" t="str">
        <f t="shared" si="1"/>
        <v>El-Gohary</v>
      </c>
      <c r="X8" s="110"/>
    </row>
    <row r="9" spans="1:28" ht="15.75" customHeight="1" x14ac:dyDescent="0.25">
      <c r="A9" s="17"/>
      <c r="B9" s="17"/>
      <c r="C9" s="17"/>
      <c r="D9" s="17"/>
      <c r="I9" s="75" t="s">
        <v>21</v>
      </c>
      <c r="J9" s="76">
        <v>1</v>
      </c>
      <c r="K9" s="77" t="s">
        <v>18</v>
      </c>
      <c r="L9" s="12">
        <v>1.5</v>
      </c>
      <c r="M9" s="12">
        <v>1.5</v>
      </c>
      <c r="P9" s="136" t="s">
        <v>26</v>
      </c>
      <c r="Q9" s="137">
        <v>15</v>
      </c>
      <c r="R9" s="138">
        <v>15</v>
      </c>
      <c r="T9" s="113"/>
      <c r="U9" s="13">
        <f t="shared" si="0"/>
        <v>2</v>
      </c>
      <c r="V9" s="9" t="s">
        <v>16</v>
      </c>
      <c r="W9" s="24" t="str">
        <f t="shared" si="1"/>
        <v>Fatma</v>
      </c>
      <c r="X9" s="110"/>
    </row>
    <row r="10" spans="1:28" ht="15.75" customHeight="1" x14ac:dyDescent="0.25">
      <c r="A10" s="17"/>
      <c r="B10" s="17"/>
      <c r="C10" s="17"/>
      <c r="D10" s="17"/>
      <c r="I10" s="75" t="s">
        <v>23</v>
      </c>
      <c r="J10" s="76">
        <v>1</v>
      </c>
      <c r="K10" s="77" t="s">
        <v>26</v>
      </c>
      <c r="L10" s="12">
        <v>2</v>
      </c>
      <c r="M10" s="12">
        <v>2</v>
      </c>
      <c r="P10" s="136" t="s">
        <v>30</v>
      </c>
      <c r="Q10" s="137">
        <v>13</v>
      </c>
      <c r="R10" s="138">
        <v>13</v>
      </c>
      <c r="T10" s="113"/>
      <c r="U10" s="13">
        <f t="shared" si="0"/>
        <v>2</v>
      </c>
      <c r="V10" s="24" t="s">
        <v>23</v>
      </c>
      <c r="W10" s="24" t="str">
        <f t="shared" si="1"/>
        <v>Hager</v>
      </c>
      <c r="X10" s="110"/>
    </row>
    <row r="11" spans="1:28" ht="15.75" customHeight="1" x14ac:dyDescent="0.25">
      <c r="A11" s="17"/>
      <c r="B11" s="17"/>
      <c r="C11" s="17"/>
      <c r="D11" s="17"/>
      <c r="I11" s="75" t="s">
        <v>25</v>
      </c>
      <c r="J11" s="76">
        <v>1</v>
      </c>
      <c r="K11" s="77" t="s">
        <v>26</v>
      </c>
      <c r="L11" s="12">
        <v>3</v>
      </c>
      <c r="M11" s="12">
        <v>3</v>
      </c>
      <c r="P11" s="136" t="s">
        <v>104</v>
      </c>
      <c r="Q11" s="137">
        <v>14</v>
      </c>
      <c r="R11" s="138">
        <v>14</v>
      </c>
      <c r="T11" s="113"/>
      <c r="U11" s="13">
        <f t="shared" si="0"/>
        <v>3</v>
      </c>
      <c r="V11" s="24" t="s">
        <v>25</v>
      </c>
      <c r="W11" s="24" t="str">
        <f t="shared" si="1"/>
        <v>Hager</v>
      </c>
      <c r="X11" s="110"/>
    </row>
    <row r="12" spans="1:28" ht="13.2" x14ac:dyDescent="0.25">
      <c r="A12" s="119" t="s">
        <v>32</v>
      </c>
      <c r="B12" s="120"/>
      <c r="C12" s="120"/>
      <c r="D12" s="120"/>
      <c r="E12" s="120"/>
      <c r="F12" s="120"/>
      <c r="G12" s="121"/>
      <c r="I12" s="75" t="s">
        <v>27</v>
      </c>
      <c r="J12" s="78">
        <v>1</v>
      </c>
      <c r="K12" s="77" t="s">
        <v>26</v>
      </c>
      <c r="L12" s="12">
        <v>3</v>
      </c>
      <c r="M12" s="12">
        <v>3</v>
      </c>
      <c r="P12" s="139" t="s">
        <v>189</v>
      </c>
      <c r="Q12" s="140">
        <v>88</v>
      </c>
      <c r="R12" s="141">
        <v>88</v>
      </c>
      <c r="T12" s="113"/>
      <c r="U12" s="13">
        <f t="shared" si="0"/>
        <v>2</v>
      </c>
      <c r="V12" s="24" t="s">
        <v>13</v>
      </c>
      <c r="W12" s="24" t="str">
        <f t="shared" si="1"/>
        <v>Fatma</v>
      </c>
      <c r="X12" s="110"/>
    </row>
    <row r="13" spans="1:28" ht="15.75" customHeight="1" x14ac:dyDescent="0.25">
      <c r="A13" s="26" t="s">
        <v>34</v>
      </c>
      <c r="B13" s="27" t="s">
        <v>35</v>
      </c>
      <c r="C13" s="27" t="s">
        <v>36</v>
      </c>
      <c r="D13" s="27" t="s">
        <v>37</v>
      </c>
      <c r="E13" s="27" t="s">
        <v>38</v>
      </c>
      <c r="F13" s="28" t="s">
        <v>39</v>
      </c>
      <c r="G13" s="27" t="s">
        <v>40</v>
      </c>
      <c r="I13" s="75" t="s">
        <v>138</v>
      </c>
      <c r="J13" s="78">
        <v>1</v>
      </c>
      <c r="K13" s="77" t="s">
        <v>24</v>
      </c>
      <c r="L13" s="12">
        <v>3</v>
      </c>
      <c r="M13" s="12">
        <v>3</v>
      </c>
      <c r="T13" s="113"/>
      <c r="U13" s="13">
        <f t="shared" si="0"/>
        <v>2</v>
      </c>
      <c r="V13" s="24" t="s">
        <v>130</v>
      </c>
      <c r="W13" s="24" t="str">
        <f t="shared" si="1"/>
        <v>Ganna</v>
      </c>
      <c r="X13" s="110"/>
    </row>
    <row r="14" spans="1:28" ht="15.75" customHeight="1" x14ac:dyDescent="0.25">
      <c r="A14" s="12" t="s">
        <v>42</v>
      </c>
      <c r="B14" s="29" t="s">
        <v>43</v>
      </c>
      <c r="C14" s="30" t="s">
        <v>44</v>
      </c>
      <c r="D14" s="30" t="s">
        <v>44</v>
      </c>
      <c r="E14" s="31" t="s">
        <v>45</v>
      </c>
      <c r="F14" s="32" t="s">
        <v>46</v>
      </c>
      <c r="G14" s="33" t="s">
        <v>47</v>
      </c>
      <c r="I14" s="75" t="s">
        <v>139</v>
      </c>
      <c r="J14" s="78">
        <v>1</v>
      </c>
      <c r="K14" s="77" t="s">
        <v>24</v>
      </c>
      <c r="L14" s="12">
        <v>5</v>
      </c>
      <c r="M14" s="12">
        <v>5</v>
      </c>
      <c r="T14" s="113"/>
      <c r="U14" s="13">
        <f t="shared" si="0"/>
        <v>2</v>
      </c>
      <c r="V14" s="24" t="s">
        <v>140</v>
      </c>
      <c r="W14" s="24" t="str">
        <f t="shared" si="1"/>
        <v>Fatma</v>
      </c>
      <c r="X14" s="110"/>
    </row>
    <row r="15" spans="1:28" ht="15.75" customHeight="1" x14ac:dyDescent="0.25">
      <c r="A15" s="12" t="s">
        <v>49</v>
      </c>
      <c r="B15" s="12" t="s">
        <v>43</v>
      </c>
      <c r="C15" s="19" t="s">
        <v>44</v>
      </c>
      <c r="D15" s="19" t="s">
        <v>50</v>
      </c>
      <c r="E15" s="34" t="s">
        <v>51</v>
      </c>
      <c r="F15" s="7" t="s">
        <v>52</v>
      </c>
      <c r="G15" s="35" t="s">
        <v>53</v>
      </c>
      <c r="I15" s="75" t="s">
        <v>141</v>
      </c>
      <c r="J15" s="78">
        <v>1</v>
      </c>
      <c r="K15" s="77" t="s">
        <v>24</v>
      </c>
      <c r="L15" s="12">
        <v>5</v>
      </c>
      <c r="M15" s="12">
        <v>5</v>
      </c>
      <c r="T15" s="114"/>
      <c r="U15" s="13">
        <f t="shared" si="0"/>
        <v>2</v>
      </c>
      <c r="V15" s="24" t="s">
        <v>140</v>
      </c>
      <c r="W15" s="24" t="str">
        <f t="shared" si="1"/>
        <v>Fatma</v>
      </c>
      <c r="X15" s="111"/>
    </row>
    <row r="16" spans="1:28" ht="15.75" customHeight="1" x14ac:dyDescent="0.25">
      <c r="A16" s="12" t="s">
        <v>55</v>
      </c>
      <c r="B16" s="12" t="s">
        <v>43</v>
      </c>
      <c r="C16" s="36" t="s">
        <v>44</v>
      </c>
      <c r="D16" s="36" t="s">
        <v>44</v>
      </c>
      <c r="E16" s="37" t="s">
        <v>56</v>
      </c>
      <c r="F16" s="38" t="s">
        <v>52</v>
      </c>
      <c r="G16" s="9" t="s">
        <v>57</v>
      </c>
      <c r="I16" s="75" t="s">
        <v>142</v>
      </c>
      <c r="J16" s="78">
        <v>1</v>
      </c>
      <c r="K16" s="77" t="s">
        <v>104</v>
      </c>
      <c r="L16" s="12">
        <v>5</v>
      </c>
      <c r="M16" s="12">
        <v>5</v>
      </c>
      <c r="T16" s="116">
        <v>3</v>
      </c>
      <c r="U16" s="13">
        <f t="shared" si="0"/>
        <v>5</v>
      </c>
      <c r="V16" s="24" t="s">
        <v>143</v>
      </c>
      <c r="W16" s="24" t="str">
        <f t="shared" si="1"/>
        <v>Jana</v>
      </c>
      <c r="X16" s="117">
        <f>SUM(U16:U25)</f>
        <v>28</v>
      </c>
    </row>
    <row r="17" spans="1:24" ht="15.75" customHeight="1" x14ac:dyDescent="0.25">
      <c r="A17" s="12" t="s">
        <v>59</v>
      </c>
      <c r="B17" s="33" t="s">
        <v>60</v>
      </c>
      <c r="C17" s="19" t="s">
        <v>44</v>
      </c>
      <c r="D17" s="19" t="s">
        <v>50</v>
      </c>
      <c r="E17" s="39" t="s">
        <v>61</v>
      </c>
      <c r="F17" s="19" t="s">
        <v>52</v>
      </c>
      <c r="G17" s="9" t="s">
        <v>62</v>
      </c>
      <c r="I17" s="75" t="s">
        <v>142</v>
      </c>
      <c r="J17" s="78">
        <v>1</v>
      </c>
      <c r="K17" s="77" t="s">
        <v>26</v>
      </c>
      <c r="L17" s="12">
        <v>5</v>
      </c>
      <c r="M17" s="12">
        <v>5</v>
      </c>
      <c r="T17" s="113"/>
      <c r="U17" s="13">
        <f t="shared" si="0"/>
        <v>5</v>
      </c>
      <c r="V17" s="24" t="s">
        <v>143</v>
      </c>
      <c r="W17" s="24" t="str">
        <f t="shared" si="1"/>
        <v>Jana</v>
      </c>
      <c r="X17" s="110"/>
    </row>
    <row r="18" spans="1:24" ht="15.75" customHeight="1" x14ac:dyDescent="0.25">
      <c r="A18" s="12" t="s">
        <v>64</v>
      </c>
      <c r="B18" s="12" t="s">
        <v>43</v>
      </c>
      <c r="C18" s="40" t="s">
        <v>50</v>
      </c>
      <c r="D18" s="36" t="s">
        <v>44</v>
      </c>
      <c r="E18" s="41" t="s">
        <v>65</v>
      </c>
      <c r="F18" s="42" t="s">
        <v>52</v>
      </c>
      <c r="G18" s="43" t="s">
        <v>66</v>
      </c>
      <c r="I18" s="75" t="s">
        <v>144</v>
      </c>
      <c r="J18" s="78">
        <v>1</v>
      </c>
      <c r="K18" s="79" t="s">
        <v>104</v>
      </c>
      <c r="L18" s="12">
        <v>4</v>
      </c>
      <c r="M18" s="12">
        <v>4</v>
      </c>
      <c r="T18" s="113"/>
      <c r="U18" s="13">
        <f t="shared" si="0"/>
        <v>2</v>
      </c>
      <c r="V18" s="24" t="s">
        <v>145</v>
      </c>
      <c r="W18" s="24" t="str">
        <f t="shared" si="1"/>
        <v>El-Gohary</v>
      </c>
      <c r="X18" s="110"/>
    </row>
    <row r="19" spans="1:24" ht="15.75" customHeight="1" x14ac:dyDescent="0.25">
      <c r="A19" s="42"/>
      <c r="B19" s="42"/>
      <c r="C19" s="42"/>
      <c r="D19" s="42"/>
      <c r="E19" s="42"/>
      <c r="F19" s="42"/>
      <c r="G19" s="42"/>
      <c r="I19" s="75" t="s">
        <v>136</v>
      </c>
      <c r="J19" s="78">
        <v>1</v>
      </c>
      <c r="K19" s="79" t="s">
        <v>14</v>
      </c>
      <c r="L19" s="12">
        <v>2</v>
      </c>
      <c r="M19" s="12">
        <v>2</v>
      </c>
      <c r="T19" s="113"/>
      <c r="U19" s="13">
        <f t="shared" si="0"/>
        <v>2</v>
      </c>
      <c r="V19" s="24" t="s">
        <v>146</v>
      </c>
      <c r="W19" s="24" t="str">
        <f t="shared" si="1"/>
        <v>El-Gohary</v>
      </c>
      <c r="X19" s="110"/>
    </row>
    <row r="20" spans="1:24" ht="15.75" customHeight="1" x14ac:dyDescent="0.25">
      <c r="A20" s="42"/>
      <c r="B20" s="42"/>
      <c r="C20" s="42"/>
      <c r="D20" s="42"/>
      <c r="E20" s="42"/>
      <c r="F20" s="42"/>
      <c r="G20" s="42"/>
      <c r="I20" s="75" t="s">
        <v>137</v>
      </c>
      <c r="J20" s="78">
        <v>1</v>
      </c>
      <c r="K20" s="79" t="s">
        <v>14</v>
      </c>
      <c r="L20" s="12">
        <v>2</v>
      </c>
      <c r="M20" s="12">
        <v>2</v>
      </c>
      <c r="T20" s="113"/>
      <c r="U20" s="13">
        <f t="shared" si="0"/>
        <v>3</v>
      </c>
      <c r="V20" s="24" t="s">
        <v>138</v>
      </c>
      <c r="W20" s="24" t="str">
        <f t="shared" si="1"/>
        <v>Ganna</v>
      </c>
      <c r="X20" s="110"/>
    </row>
    <row r="21" spans="1:24" ht="15.75" customHeight="1" x14ac:dyDescent="0.25">
      <c r="A21" s="42"/>
      <c r="B21" s="42"/>
      <c r="C21" s="42"/>
      <c r="D21" s="42"/>
      <c r="E21" s="42"/>
      <c r="F21" s="42"/>
      <c r="G21" s="42"/>
      <c r="I21" s="75" t="s">
        <v>147</v>
      </c>
      <c r="J21" s="78">
        <v>1</v>
      </c>
      <c r="K21" s="79" t="s">
        <v>14</v>
      </c>
      <c r="L21" s="12">
        <v>2</v>
      </c>
      <c r="M21" s="12">
        <v>2</v>
      </c>
      <c r="T21" s="113"/>
      <c r="U21" s="13">
        <f t="shared" si="0"/>
        <v>2</v>
      </c>
      <c r="V21" s="24" t="s">
        <v>148</v>
      </c>
      <c r="W21" s="24" t="str">
        <f t="shared" si="1"/>
        <v>Hazem</v>
      </c>
      <c r="X21" s="110"/>
    </row>
    <row r="22" spans="1:24" ht="15.75" customHeight="1" x14ac:dyDescent="0.25">
      <c r="A22" s="42"/>
      <c r="B22" s="42"/>
      <c r="C22" s="42"/>
      <c r="D22" s="42"/>
      <c r="E22" s="42"/>
      <c r="F22" s="42"/>
      <c r="G22" s="42"/>
      <c r="I22" s="75" t="s">
        <v>149</v>
      </c>
      <c r="J22" s="78">
        <v>1</v>
      </c>
      <c r="K22" s="79" t="s">
        <v>14</v>
      </c>
      <c r="L22" s="12">
        <v>1</v>
      </c>
      <c r="M22" s="12">
        <v>1</v>
      </c>
      <c r="T22" s="113"/>
      <c r="U22" s="13">
        <f t="shared" si="0"/>
        <v>3</v>
      </c>
      <c r="V22" s="24" t="s">
        <v>150</v>
      </c>
      <c r="W22" s="24" t="str">
        <f t="shared" si="1"/>
        <v>Hazem</v>
      </c>
      <c r="X22" s="110"/>
    </row>
    <row r="23" spans="1:24" ht="15.75" customHeight="1" x14ac:dyDescent="0.25">
      <c r="A23" s="42"/>
      <c r="B23" s="42"/>
      <c r="C23" s="42"/>
      <c r="D23" s="42"/>
      <c r="E23" s="42"/>
      <c r="F23" s="42"/>
      <c r="G23" s="42"/>
      <c r="I23" s="75" t="s">
        <v>148</v>
      </c>
      <c r="J23" s="78">
        <v>1</v>
      </c>
      <c r="K23" s="79" t="s">
        <v>30</v>
      </c>
      <c r="L23" s="12">
        <v>2</v>
      </c>
      <c r="M23" s="12">
        <v>2</v>
      </c>
      <c r="T23" s="113"/>
      <c r="U23" s="13">
        <f t="shared" si="0"/>
        <v>2</v>
      </c>
      <c r="V23" s="24" t="s">
        <v>147</v>
      </c>
      <c r="W23" s="24" t="str">
        <f t="shared" si="1"/>
        <v>El-Gohary</v>
      </c>
      <c r="X23" s="110"/>
    </row>
    <row r="24" spans="1:24" ht="15.75" customHeight="1" x14ac:dyDescent="0.25">
      <c r="A24" s="42"/>
      <c r="B24" s="42"/>
      <c r="C24" s="42"/>
      <c r="D24" s="42"/>
      <c r="E24" s="42"/>
      <c r="F24" s="42"/>
      <c r="G24" s="42"/>
      <c r="I24" s="75" t="s">
        <v>150</v>
      </c>
      <c r="J24" s="78">
        <v>1</v>
      </c>
      <c r="K24" s="79" t="s">
        <v>30</v>
      </c>
      <c r="L24" s="12">
        <v>3</v>
      </c>
      <c r="M24" s="12">
        <v>3</v>
      </c>
      <c r="T24" s="113"/>
      <c r="U24" s="13">
        <f t="shared" si="0"/>
        <v>1</v>
      </c>
      <c r="V24" s="24" t="s">
        <v>149</v>
      </c>
      <c r="W24" s="24" t="str">
        <f t="shared" si="1"/>
        <v>El-Gohary</v>
      </c>
      <c r="X24" s="110"/>
    </row>
    <row r="25" spans="1:24" ht="15.75" customHeight="1" x14ac:dyDescent="0.25">
      <c r="A25" s="42"/>
      <c r="B25" s="42"/>
      <c r="C25" s="42"/>
      <c r="D25" s="42"/>
      <c r="E25" s="42"/>
      <c r="F25" s="42"/>
      <c r="G25" s="42"/>
      <c r="I25" s="75" t="s">
        <v>151</v>
      </c>
      <c r="J25" s="78">
        <v>1</v>
      </c>
      <c r="K25" s="79" t="s">
        <v>30</v>
      </c>
      <c r="L25" s="12">
        <v>3</v>
      </c>
      <c r="M25" s="12">
        <v>3</v>
      </c>
      <c r="T25" s="126"/>
      <c r="U25" s="13">
        <f t="shared" si="0"/>
        <v>3</v>
      </c>
      <c r="V25" s="24" t="s">
        <v>27</v>
      </c>
      <c r="W25" s="24" t="str">
        <f t="shared" si="1"/>
        <v>Hager</v>
      </c>
      <c r="X25" s="111"/>
    </row>
    <row r="26" spans="1:24" ht="15.75" customHeight="1" x14ac:dyDescent="0.25">
      <c r="A26" s="17"/>
      <c r="B26" s="17"/>
      <c r="C26" s="17"/>
      <c r="D26" s="17"/>
      <c r="I26" s="75" t="s">
        <v>152</v>
      </c>
      <c r="J26" s="78">
        <v>1</v>
      </c>
      <c r="K26" s="79" t="s">
        <v>30</v>
      </c>
      <c r="L26" s="12">
        <v>2</v>
      </c>
      <c r="M26" s="12">
        <v>2</v>
      </c>
      <c r="T26" s="109">
        <v>4</v>
      </c>
      <c r="U26" s="13">
        <f t="shared" si="0"/>
        <v>3</v>
      </c>
      <c r="V26" s="24" t="s">
        <v>151</v>
      </c>
      <c r="W26" s="24" t="str">
        <f t="shared" si="1"/>
        <v>Hazem</v>
      </c>
      <c r="X26" s="117">
        <f>SUM(U26:U30)</f>
        <v>12</v>
      </c>
    </row>
    <row r="27" spans="1:24" ht="15.75" customHeight="1" x14ac:dyDescent="0.25">
      <c r="A27" s="17"/>
      <c r="B27" s="17"/>
      <c r="C27" s="17"/>
      <c r="D27" s="17"/>
      <c r="I27" s="75" t="s">
        <v>153</v>
      </c>
      <c r="J27" s="78">
        <v>1</v>
      </c>
      <c r="K27" s="79" t="s">
        <v>18</v>
      </c>
      <c r="L27" s="12">
        <v>2</v>
      </c>
      <c r="M27" s="12">
        <v>2</v>
      </c>
      <c r="T27" s="110"/>
      <c r="U27" s="13">
        <f t="shared" si="0"/>
        <v>2</v>
      </c>
      <c r="V27" s="24" t="s">
        <v>152</v>
      </c>
      <c r="W27" s="24" t="str">
        <f t="shared" si="1"/>
        <v>Hazem</v>
      </c>
      <c r="X27" s="110"/>
    </row>
    <row r="28" spans="1:24" ht="15.75" customHeight="1" x14ac:dyDescent="0.25">
      <c r="A28" s="119" t="s">
        <v>77</v>
      </c>
      <c r="B28" s="120"/>
      <c r="C28" s="120"/>
      <c r="D28" s="120"/>
      <c r="E28" s="120"/>
      <c r="F28" s="120"/>
      <c r="G28" s="121"/>
      <c r="I28" s="75" t="s">
        <v>154</v>
      </c>
      <c r="J28" s="78">
        <v>1</v>
      </c>
      <c r="K28" s="79" t="s">
        <v>18</v>
      </c>
      <c r="L28" s="12">
        <v>1</v>
      </c>
      <c r="M28" s="12">
        <v>1</v>
      </c>
      <c r="T28" s="110"/>
      <c r="U28" s="13">
        <f t="shared" si="0"/>
        <v>2</v>
      </c>
      <c r="V28" s="24" t="s">
        <v>155</v>
      </c>
      <c r="W28" s="24" t="str">
        <f t="shared" si="1"/>
        <v>Jana</v>
      </c>
      <c r="X28" s="110"/>
    </row>
    <row r="29" spans="1:24" ht="15.75" customHeight="1" x14ac:dyDescent="0.25">
      <c r="A29" s="26" t="s">
        <v>34</v>
      </c>
      <c r="B29" s="51" t="s">
        <v>79</v>
      </c>
      <c r="C29" s="51" t="s">
        <v>36</v>
      </c>
      <c r="D29" s="51" t="s">
        <v>37</v>
      </c>
      <c r="E29" s="52" t="s">
        <v>38</v>
      </c>
      <c r="F29" s="52" t="s">
        <v>39</v>
      </c>
      <c r="G29" s="52" t="s">
        <v>40</v>
      </c>
      <c r="I29" s="75" t="s">
        <v>156</v>
      </c>
      <c r="J29" s="78">
        <v>1</v>
      </c>
      <c r="K29" s="79" t="s">
        <v>30</v>
      </c>
      <c r="L29" s="12">
        <v>3</v>
      </c>
      <c r="M29" s="12">
        <v>3</v>
      </c>
      <c r="T29" s="110"/>
      <c r="U29" s="13">
        <f t="shared" si="0"/>
        <v>2</v>
      </c>
      <c r="V29" s="24" t="s">
        <v>153</v>
      </c>
      <c r="W29" s="24" t="str">
        <f t="shared" si="1"/>
        <v>Fatma</v>
      </c>
      <c r="X29" s="110"/>
    </row>
    <row r="30" spans="1:24" ht="15.75" customHeight="1" x14ac:dyDescent="0.25">
      <c r="A30" s="19" t="s">
        <v>81</v>
      </c>
      <c r="B30" s="53" t="s">
        <v>82</v>
      </c>
      <c r="C30" s="29" t="s">
        <v>12</v>
      </c>
      <c r="D30" s="54" t="s">
        <v>44</v>
      </c>
      <c r="E30" s="55" t="s">
        <v>83</v>
      </c>
      <c r="F30" s="56" t="s">
        <v>46</v>
      </c>
      <c r="G30" s="57"/>
      <c r="I30" s="75" t="s">
        <v>146</v>
      </c>
      <c r="J30" s="78">
        <v>1</v>
      </c>
      <c r="K30" s="79" t="s">
        <v>14</v>
      </c>
      <c r="L30" s="12">
        <v>2</v>
      </c>
      <c r="M30" s="12">
        <v>2</v>
      </c>
      <c r="T30" s="111"/>
      <c r="U30" s="13">
        <f t="shared" si="0"/>
        <v>3</v>
      </c>
      <c r="V30" s="24" t="s">
        <v>134</v>
      </c>
      <c r="W30" s="24" t="str">
        <f t="shared" si="1"/>
        <v>El-Gohary</v>
      </c>
      <c r="X30" s="111"/>
    </row>
    <row r="31" spans="1:24" ht="15.75" customHeight="1" x14ac:dyDescent="0.25">
      <c r="A31" s="19" t="s">
        <v>85</v>
      </c>
      <c r="B31" s="58" t="s">
        <v>82</v>
      </c>
      <c r="C31" s="12" t="s">
        <v>12</v>
      </c>
      <c r="D31" s="19" t="s">
        <v>44</v>
      </c>
      <c r="E31" s="59" t="s">
        <v>86</v>
      </c>
      <c r="F31" s="60" t="s">
        <v>52</v>
      </c>
      <c r="G31" s="61" t="s">
        <v>87</v>
      </c>
      <c r="I31" s="75" t="s">
        <v>155</v>
      </c>
      <c r="J31" s="78">
        <v>1</v>
      </c>
      <c r="K31" s="79" t="s">
        <v>104</v>
      </c>
      <c r="L31" s="12">
        <v>2</v>
      </c>
      <c r="M31" s="12">
        <v>2</v>
      </c>
      <c r="T31" s="109">
        <v>5</v>
      </c>
      <c r="U31" s="13">
        <f t="shared" si="0"/>
        <v>5</v>
      </c>
      <c r="V31" s="24" t="s">
        <v>139</v>
      </c>
      <c r="W31" s="24" t="str">
        <f t="shared" si="1"/>
        <v>Ganna</v>
      </c>
      <c r="X31" s="117">
        <f>SUM(U31:U33)</f>
        <v>14</v>
      </c>
    </row>
    <row r="32" spans="1:24" ht="15.75" customHeight="1" x14ac:dyDescent="0.25">
      <c r="A32" s="19" t="s">
        <v>89</v>
      </c>
      <c r="B32" s="58" t="s">
        <v>82</v>
      </c>
      <c r="C32" s="62" t="s">
        <v>12</v>
      </c>
      <c r="D32" s="63" t="s">
        <v>50</v>
      </c>
      <c r="E32" s="64" t="s">
        <v>90</v>
      </c>
      <c r="F32" s="38" t="s">
        <v>52</v>
      </c>
      <c r="G32" s="65" t="s">
        <v>91</v>
      </c>
      <c r="I32" s="75" t="s">
        <v>157</v>
      </c>
      <c r="J32" s="78">
        <v>1</v>
      </c>
      <c r="K32" s="79" t="s">
        <v>104</v>
      </c>
      <c r="L32" s="12">
        <v>3</v>
      </c>
      <c r="M32" s="12">
        <v>3</v>
      </c>
      <c r="T32" s="110"/>
      <c r="U32" s="13">
        <f t="shared" si="0"/>
        <v>5</v>
      </c>
      <c r="V32" s="24" t="s">
        <v>141</v>
      </c>
      <c r="W32" s="24" t="str">
        <f t="shared" si="1"/>
        <v>Ganna</v>
      </c>
      <c r="X32" s="110"/>
    </row>
    <row r="33" spans="1:24" ht="15.75" customHeight="1" x14ac:dyDescent="0.25">
      <c r="A33" s="19" t="s">
        <v>93</v>
      </c>
      <c r="B33" s="58" t="s">
        <v>82</v>
      </c>
      <c r="C33" s="62" t="s">
        <v>12</v>
      </c>
      <c r="D33" s="63" t="s">
        <v>44</v>
      </c>
      <c r="E33" s="66" t="s">
        <v>65</v>
      </c>
      <c r="F33" s="38" t="s">
        <v>52</v>
      </c>
      <c r="G33" s="9" t="s">
        <v>66</v>
      </c>
      <c r="I33" s="75" t="s">
        <v>145</v>
      </c>
      <c r="J33" s="78">
        <v>1</v>
      </c>
      <c r="K33" s="79" t="s">
        <v>14</v>
      </c>
      <c r="L33" s="12">
        <v>2</v>
      </c>
      <c r="M33" s="12">
        <v>2</v>
      </c>
      <c r="T33" s="111"/>
      <c r="U33" s="13">
        <f t="shared" si="0"/>
        <v>4</v>
      </c>
      <c r="V33" s="24" t="s">
        <v>144</v>
      </c>
      <c r="W33" s="24" t="str">
        <f t="shared" si="1"/>
        <v>Jana</v>
      </c>
      <c r="X33" s="111"/>
    </row>
    <row r="34" spans="1:24" ht="15.75" customHeight="1" x14ac:dyDescent="0.25">
      <c r="A34" s="42"/>
      <c r="B34" s="42"/>
      <c r="C34" s="33"/>
      <c r="D34" s="33"/>
      <c r="E34" s="33"/>
      <c r="F34" s="42"/>
      <c r="G34" s="43"/>
      <c r="I34" s="75" t="s">
        <v>140</v>
      </c>
      <c r="J34" s="78">
        <v>1</v>
      </c>
      <c r="K34" s="77" t="s">
        <v>18</v>
      </c>
      <c r="L34" s="12">
        <v>2</v>
      </c>
      <c r="M34" s="12">
        <v>2</v>
      </c>
      <c r="T34" s="109">
        <v>6</v>
      </c>
      <c r="U34" s="13">
        <f t="shared" si="0"/>
        <v>1</v>
      </c>
      <c r="V34" s="24" t="s">
        <v>154</v>
      </c>
      <c r="W34" s="24" t="str">
        <f t="shared" si="1"/>
        <v>Fatma</v>
      </c>
      <c r="X34" s="117">
        <f>SUM(U34:U36)</f>
        <v>7</v>
      </c>
    </row>
    <row r="35" spans="1:24" ht="15.75" customHeight="1" x14ac:dyDescent="0.25">
      <c r="A35" s="42"/>
      <c r="B35" s="42"/>
      <c r="C35" s="42"/>
      <c r="D35" s="42"/>
      <c r="E35" s="42"/>
      <c r="F35" s="42"/>
      <c r="G35" s="42"/>
      <c r="I35" s="75" t="s">
        <v>140</v>
      </c>
      <c r="J35" s="78">
        <v>1</v>
      </c>
      <c r="K35" s="77" t="s">
        <v>26</v>
      </c>
      <c r="L35" s="12">
        <v>2</v>
      </c>
      <c r="M35" s="12">
        <v>2</v>
      </c>
      <c r="T35" s="110"/>
      <c r="U35" s="13">
        <f t="shared" si="0"/>
        <v>3</v>
      </c>
      <c r="V35" s="24" t="s">
        <v>156</v>
      </c>
      <c r="W35" s="24" t="str">
        <f t="shared" si="1"/>
        <v>Hazem</v>
      </c>
      <c r="X35" s="110"/>
    </row>
    <row r="36" spans="1:24" ht="15.75" customHeight="1" x14ac:dyDescent="0.25">
      <c r="A36" s="42"/>
      <c r="B36" s="42"/>
      <c r="C36" s="42"/>
      <c r="D36" s="42"/>
      <c r="E36" s="42"/>
      <c r="F36" s="42"/>
      <c r="G36" s="42"/>
      <c r="I36" s="75" t="s">
        <v>15</v>
      </c>
      <c r="J36" s="78">
        <v>1</v>
      </c>
      <c r="K36" s="77" t="s">
        <v>22</v>
      </c>
      <c r="L36" s="12">
        <v>5</v>
      </c>
      <c r="M36" s="12">
        <v>5</v>
      </c>
      <c r="T36" s="111"/>
      <c r="U36" s="13">
        <f t="shared" si="0"/>
        <v>3</v>
      </c>
      <c r="V36" s="24" t="s">
        <v>157</v>
      </c>
      <c r="W36" s="24" t="str">
        <f t="shared" si="1"/>
        <v>Jana</v>
      </c>
      <c r="X36" s="111"/>
    </row>
    <row r="37" spans="1:24" ht="15.75" customHeight="1" x14ac:dyDescent="0.25">
      <c r="A37" s="42"/>
      <c r="B37" s="42"/>
      <c r="C37" s="42"/>
      <c r="D37" s="42"/>
      <c r="E37" s="42"/>
      <c r="F37" s="42"/>
      <c r="G37" s="42"/>
      <c r="K37" s="67" t="s">
        <v>98</v>
      </c>
      <c r="L37" s="12">
        <f t="shared" ref="L37:M37" si="2">SUM(L2:L36)</f>
        <v>93</v>
      </c>
      <c r="M37" s="12">
        <f t="shared" si="2"/>
        <v>93</v>
      </c>
      <c r="W37" s="67" t="s">
        <v>98</v>
      </c>
      <c r="X37" s="12">
        <f>SUM(X2:X36)</f>
        <v>93</v>
      </c>
    </row>
    <row r="38" spans="1:24" ht="15.75" customHeight="1" x14ac:dyDescent="0.25">
      <c r="A38" s="42"/>
      <c r="B38" s="42"/>
      <c r="C38" s="42"/>
      <c r="D38" s="42"/>
      <c r="E38" s="42"/>
      <c r="F38" s="42"/>
      <c r="G38" s="42"/>
    </row>
    <row r="39" spans="1:24" ht="15.75" customHeight="1" x14ac:dyDescent="0.25">
      <c r="A39" s="42"/>
      <c r="B39" s="42"/>
      <c r="C39" s="42"/>
      <c r="D39" s="42"/>
      <c r="E39" s="42"/>
      <c r="F39" s="42"/>
      <c r="G39" s="42"/>
    </row>
    <row r="40" spans="1:24" ht="15.75" customHeight="1" x14ac:dyDescent="0.25">
      <c r="A40" s="42"/>
      <c r="B40" s="42"/>
      <c r="C40" s="42"/>
      <c r="D40" s="42"/>
      <c r="E40" s="42"/>
      <c r="F40" s="42"/>
      <c r="G40" s="42"/>
    </row>
    <row r="41" spans="1:24" ht="15.75" customHeight="1" x14ac:dyDescent="0.25">
      <c r="A41" s="17"/>
      <c r="B41" s="17"/>
      <c r="C41" s="17"/>
      <c r="D41" s="17"/>
    </row>
    <row r="42" spans="1:24" ht="15.75" customHeight="1" x14ac:dyDescent="0.25">
      <c r="A42" s="17"/>
      <c r="B42" s="17"/>
      <c r="C42" s="17"/>
      <c r="D42" s="17"/>
    </row>
    <row r="43" spans="1:24" ht="15.75" customHeight="1" x14ac:dyDescent="0.25">
      <c r="A43" s="17"/>
      <c r="B43" s="17"/>
      <c r="C43" s="17"/>
      <c r="D43" s="17"/>
    </row>
    <row r="44" spans="1:24" ht="15.75" customHeight="1" x14ac:dyDescent="0.25">
      <c r="A44" s="17"/>
      <c r="B44" s="17"/>
      <c r="C44" s="17"/>
      <c r="D44" s="17"/>
    </row>
    <row r="45" spans="1:24" ht="15.75" customHeight="1" x14ac:dyDescent="0.25">
      <c r="A45" s="17"/>
      <c r="B45" s="17"/>
      <c r="C45" s="17"/>
      <c r="D45" s="17"/>
    </row>
    <row r="46" spans="1:24" ht="15.75" customHeight="1" x14ac:dyDescent="0.25">
      <c r="A46" s="17"/>
      <c r="B46" s="17"/>
      <c r="C46" s="17"/>
      <c r="D46" s="17"/>
    </row>
    <row r="47" spans="1:24" ht="15.75" customHeight="1" x14ac:dyDescent="0.25">
      <c r="A47" s="17"/>
      <c r="B47" s="17"/>
      <c r="C47" s="17"/>
      <c r="D47" s="17"/>
    </row>
    <row r="48" spans="1:24" ht="15.75" customHeight="1" x14ac:dyDescent="0.25">
      <c r="A48" s="17"/>
      <c r="B48" s="17"/>
      <c r="C48" s="17"/>
      <c r="D48" s="17"/>
    </row>
    <row r="49" spans="1:4" ht="15.75" customHeight="1" x14ac:dyDescent="0.25">
      <c r="A49" s="17"/>
      <c r="B49" s="17"/>
      <c r="C49" s="17"/>
      <c r="D49" s="17"/>
    </row>
    <row r="50" spans="1:4" ht="15.75" customHeight="1" x14ac:dyDescent="0.25">
      <c r="A50" s="17"/>
      <c r="B50" s="17"/>
      <c r="C50" s="17"/>
      <c r="D50" s="17"/>
    </row>
    <row r="51" spans="1:4" ht="15.75" customHeight="1" x14ac:dyDescent="0.25">
      <c r="A51" s="17"/>
      <c r="B51" s="17"/>
      <c r="C51" s="17"/>
      <c r="D51" s="17"/>
    </row>
    <row r="52" spans="1:4" ht="15.75" customHeight="1" x14ac:dyDescent="0.25">
      <c r="A52" s="17"/>
      <c r="B52" s="17"/>
      <c r="C52" s="17"/>
      <c r="D52" s="17"/>
    </row>
    <row r="53" spans="1:4" ht="15.75" customHeight="1" x14ac:dyDescent="0.25">
      <c r="A53" s="17"/>
      <c r="B53" s="17"/>
      <c r="C53" s="17"/>
      <c r="D53" s="17"/>
    </row>
    <row r="54" spans="1:4" ht="15.75" customHeight="1" x14ac:dyDescent="0.25">
      <c r="A54" s="17"/>
      <c r="B54" s="17"/>
      <c r="C54" s="17"/>
      <c r="D54" s="17"/>
    </row>
    <row r="55" spans="1:4" ht="15.75" customHeight="1" x14ac:dyDescent="0.25">
      <c r="A55" s="17"/>
      <c r="B55" s="17"/>
      <c r="C55" s="17"/>
      <c r="D55" s="17"/>
    </row>
    <row r="56" spans="1:4" ht="15.75" customHeight="1" x14ac:dyDescent="0.25">
      <c r="A56" s="17"/>
      <c r="B56" s="17"/>
      <c r="C56" s="17"/>
      <c r="D56" s="17"/>
    </row>
    <row r="57" spans="1:4" ht="15.75" customHeight="1" x14ac:dyDescent="0.25">
      <c r="A57" s="17"/>
      <c r="B57" s="17"/>
      <c r="C57" s="17"/>
      <c r="D57" s="17"/>
    </row>
    <row r="58" spans="1:4" ht="15.75" customHeight="1" x14ac:dyDescent="0.25">
      <c r="A58" s="17"/>
      <c r="B58" s="17"/>
      <c r="C58" s="17"/>
      <c r="D58" s="17"/>
    </row>
    <row r="59" spans="1:4" ht="15.75" customHeight="1" x14ac:dyDescent="0.25">
      <c r="A59" s="17"/>
      <c r="B59" s="17"/>
      <c r="C59" s="17"/>
      <c r="D59" s="17"/>
    </row>
    <row r="60" spans="1:4" ht="15.75" customHeight="1" x14ac:dyDescent="0.25">
      <c r="A60" s="17"/>
      <c r="B60" s="17"/>
      <c r="C60" s="17"/>
      <c r="D60" s="17"/>
    </row>
    <row r="61" spans="1:4" ht="15.75" customHeight="1" x14ac:dyDescent="0.25">
      <c r="A61" s="17"/>
      <c r="B61" s="17"/>
      <c r="C61" s="17"/>
      <c r="D61" s="17"/>
    </row>
    <row r="62" spans="1:4" ht="15.75" customHeight="1" x14ac:dyDescent="0.25">
      <c r="A62" s="17"/>
      <c r="B62" s="17"/>
      <c r="C62" s="17"/>
      <c r="D62" s="17"/>
    </row>
    <row r="63" spans="1:4" ht="15.75" customHeight="1" x14ac:dyDescent="0.25">
      <c r="A63" s="17"/>
      <c r="B63" s="17"/>
      <c r="C63" s="17"/>
      <c r="D63" s="17"/>
    </row>
    <row r="64" spans="1:4" ht="15.75" customHeight="1" x14ac:dyDescent="0.25">
      <c r="A64" s="17"/>
      <c r="B64" s="17"/>
      <c r="C64" s="17"/>
      <c r="D64" s="17"/>
    </row>
    <row r="65" spans="1:4" ht="15.75" customHeight="1" x14ac:dyDescent="0.25">
      <c r="A65" s="17"/>
      <c r="B65" s="17"/>
      <c r="C65" s="17"/>
      <c r="D65" s="17"/>
    </row>
    <row r="66" spans="1:4" ht="15.75" customHeight="1" x14ac:dyDescent="0.25">
      <c r="A66" s="17"/>
      <c r="B66" s="17"/>
      <c r="C66" s="17"/>
      <c r="D66" s="17"/>
    </row>
    <row r="67" spans="1:4" ht="15.75" customHeight="1" x14ac:dyDescent="0.25">
      <c r="A67" s="17"/>
      <c r="B67" s="17"/>
      <c r="C67" s="17"/>
      <c r="D67" s="17"/>
    </row>
    <row r="68" spans="1:4" ht="15.75" customHeight="1" x14ac:dyDescent="0.25">
      <c r="A68" s="17"/>
      <c r="B68" s="17"/>
      <c r="C68" s="17"/>
      <c r="D68" s="17"/>
    </row>
    <row r="69" spans="1:4" ht="15.75" customHeight="1" x14ac:dyDescent="0.25">
      <c r="A69" s="17"/>
      <c r="B69" s="17"/>
      <c r="C69" s="17"/>
      <c r="D69" s="17"/>
    </row>
    <row r="70" spans="1:4" ht="15.75" customHeight="1" x14ac:dyDescent="0.25">
      <c r="A70" s="17"/>
      <c r="B70" s="17"/>
      <c r="C70" s="17"/>
      <c r="D70" s="17"/>
    </row>
    <row r="71" spans="1:4" ht="15.75" customHeight="1" x14ac:dyDescent="0.25">
      <c r="A71" s="17"/>
      <c r="B71" s="17"/>
      <c r="C71" s="17"/>
      <c r="D71" s="17"/>
    </row>
    <row r="72" spans="1:4" ht="15.75" customHeight="1" x14ac:dyDescent="0.25">
      <c r="A72" s="17"/>
      <c r="B72" s="17"/>
      <c r="C72" s="17"/>
      <c r="D72" s="17"/>
    </row>
    <row r="73" spans="1:4" ht="15.75" customHeight="1" x14ac:dyDescent="0.25">
      <c r="A73" s="17"/>
      <c r="B73" s="17"/>
      <c r="C73" s="17"/>
      <c r="D73" s="17"/>
    </row>
    <row r="74" spans="1:4" ht="15.75" customHeight="1" x14ac:dyDescent="0.25">
      <c r="A74" s="17"/>
      <c r="B74" s="17"/>
      <c r="C74" s="17"/>
      <c r="D74" s="17"/>
    </row>
    <row r="75" spans="1:4" ht="15.75" customHeight="1" x14ac:dyDescent="0.25">
      <c r="A75" s="17"/>
      <c r="B75" s="17"/>
      <c r="C75" s="17"/>
      <c r="D75" s="17"/>
    </row>
    <row r="76" spans="1:4" ht="15.75" customHeight="1" x14ac:dyDescent="0.25">
      <c r="A76" s="17"/>
      <c r="B76" s="17"/>
      <c r="C76" s="17"/>
      <c r="D76" s="17"/>
    </row>
    <row r="77" spans="1:4" ht="15.75" customHeight="1" x14ac:dyDescent="0.25">
      <c r="A77" s="17"/>
      <c r="B77" s="17"/>
      <c r="C77" s="17"/>
      <c r="D77" s="17"/>
    </row>
    <row r="78" spans="1:4" ht="15.75" customHeight="1" x14ac:dyDescent="0.25">
      <c r="A78" s="17"/>
      <c r="B78" s="17"/>
      <c r="C78" s="17"/>
      <c r="D78" s="17"/>
    </row>
    <row r="79" spans="1:4" ht="15.75" customHeight="1" x14ac:dyDescent="0.25">
      <c r="A79" s="17"/>
      <c r="B79" s="17"/>
      <c r="C79" s="17"/>
      <c r="D79" s="17"/>
    </row>
    <row r="80" spans="1:4" ht="15.75" customHeight="1" x14ac:dyDescent="0.25">
      <c r="A80" s="17"/>
      <c r="B80" s="17"/>
      <c r="C80" s="17"/>
      <c r="D80" s="17"/>
    </row>
    <row r="81" spans="1:4" ht="15.75" customHeight="1" x14ac:dyDescent="0.25">
      <c r="A81" s="17"/>
      <c r="B81" s="17"/>
      <c r="C81" s="17"/>
      <c r="D81" s="17"/>
    </row>
    <row r="82" spans="1:4" ht="15.75" customHeight="1" x14ac:dyDescent="0.25">
      <c r="A82" s="17"/>
      <c r="B82" s="17"/>
      <c r="C82" s="17"/>
      <c r="D82" s="17"/>
    </row>
    <row r="83" spans="1:4" ht="15.75" customHeight="1" x14ac:dyDescent="0.25">
      <c r="A83" s="17"/>
      <c r="B83" s="17"/>
      <c r="C83" s="17"/>
      <c r="D83" s="17"/>
    </row>
    <row r="84" spans="1:4" ht="15.75" customHeight="1" x14ac:dyDescent="0.25">
      <c r="A84" s="17"/>
      <c r="B84" s="17"/>
      <c r="C84" s="17"/>
      <c r="D84" s="17"/>
    </row>
    <row r="85" spans="1:4" ht="15.75" customHeight="1" x14ac:dyDescent="0.25">
      <c r="A85" s="17"/>
      <c r="B85" s="17"/>
      <c r="C85" s="17"/>
      <c r="D85" s="17"/>
    </row>
    <row r="86" spans="1:4" ht="15.75" customHeight="1" x14ac:dyDescent="0.25">
      <c r="A86" s="17"/>
      <c r="B86" s="17"/>
      <c r="C86" s="17"/>
      <c r="D86" s="17"/>
    </row>
    <row r="87" spans="1:4" ht="15.75" customHeight="1" x14ac:dyDescent="0.25">
      <c r="A87" s="17"/>
      <c r="B87" s="17"/>
      <c r="C87" s="17"/>
      <c r="D87" s="17"/>
    </row>
    <row r="88" spans="1:4" ht="15.75" customHeight="1" x14ac:dyDescent="0.25">
      <c r="A88" s="17"/>
      <c r="B88" s="17"/>
      <c r="C88" s="17"/>
      <c r="D88" s="17"/>
    </row>
    <row r="89" spans="1:4" ht="15.75" customHeight="1" x14ac:dyDescent="0.25">
      <c r="A89" s="17"/>
      <c r="B89" s="17"/>
      <c r="C89" s="17"/>
      <c r="D89" s="17"/>
    </row>
    <row r="90" spans="1:4" ht="15.75" customHeight="1" x14ac:dyDescent="0.25">
      <c r="A90" s="17"/>
      <c r="B90" s="17"/>
      <c r="C90" s="17"/>
      <c r="D90" s="17"/>
    </row>
    <row r="91" spans="1:4" ht="15.75" customHeight="1" x14ac:dyDescent="0.25">
      <c r="A91" s="17"/>
      <c r="B91" s="17"/>
      <c r="C91" s="17"/>
      <c r="D91" s="17"/>
    </row>
    <row r="92" spans="1:4" ht="15.75" customHeight="1" x14ac:dyDescent="0.25">
      <c r="A92" s="17"/>
      <c r="B92" s="17"/>
      <c r="C92" s="17"/>
      <c r="D92" s="17"/>
    </row>
    <row r="93" spans="1:4" ht="15.75" customHeight="1" x14ac:dyDescent="0.25">
      <c r="A93" s="17"/>
      <c r="B93" s="17"/>
      <c r="C93" s="17"/>
      <c r="D93" s="17"/>
    </row>
    <row r="94" spans="1:4" ht="15.75" customHeight="1" x14ac:dyDescent="0.25">
      <c r="A94" s="17"/>
      <c r="B94" s="17"/>
      <c r="C94" s="17"/>
      <c r="D94" s="17"/>
    </row>
    <row r="95" spans="1:4" ht="15.75" customHeight="1" x14ac:dyDescent="0.25">
      <c r="A95" s="17"/>
      <c r="B95" s="17"/>
      <c r="C95" s="17"/>
      <c r="D95" s="17"/>
    </row>
    <row r="96" spans="1:4" ht="15.75" customHeight="1" x14ac:dyDescent="0.25">
      <c r="A96" s="17"/>
      <c r="B96" s="17"/>
      <c r="C96" s="17"/>
      <c r="D96" s="17"/>
    </row>
    <row r="97" spans="1:4" ht="15.75" customHeight="1" x14ac:dyDescent="0.25">
      <c r="A97" s="17"/>
      <c r="B97" s="17"/>
      <c r="C97" s="17"/>
      <c r="D97" s="17"/>
    </row>
    <row r="98" spans="1:4" ht="15.75" customHeight="1" x14ac:dyDescent="0.25">
      <c r="A98" s="17"/>
      <c r="B98" s="17"/>
      <c r="C98" s="17"/>
      <c r="D98" s="17"/>
    </row>
    <row r="99" spans="1:4" ht="15.75" customHeight="1" x14ac:dyDescent="0.25">
      <c r="A99" s="17"/>
      <c r="B99" s="17"/>
      <c r="C99" s="17"/>
      <c r="D99" s="17"/>
    </row>
    <row r="100" spans="1:4" ht="15.75" customHeight="1" x14ac:dyDescent="0.25">
      <c r="A100" s="17"/>
      <c r="B100" s="17"/>
      <c r="C100" s="17"/>
      <c r="D100" s="17"/>
    </row>
    <row r="101" spans="1:4" ht="15.75" customHeight="1" x14ac:dyDescent="0.25">
      <c r="A101" s="17"/>
      <c r="B101" s="17"/>
      <c r="C101" s="17"/>
      <c r="D101" s="17"/>
    </row>
    <row r="102" spans="1:4" ht="15.75" customHeight="1" x14ac:dyDescent="0.25">
      <c r="A102" s="17"/>
      <c r="B102" s="17"/>
      <c r="C102" s="17"/>
      <c r="D102" s="17"/>
    </row>
    <row r="103" spans="1:4" ht="15.75" customHeight="1" x14ac:dyDescent="0.25">
      <c r="A103" s="17"/>
      <c r="B103" s="17"/>
      <c r="C103" s="17"/>
      <c r="D103" s="17"/>
    </row>
    <row r="104" spans="1:4" ht="15.75" customHeight="1" x14ac:dyDescent="0.25">
      <c r="A104" s="17"/>
      <c r="B104" s="17"/>
      <c r="C104" s="17"/>
      <c r="D104" s="17"/>
    </row>
    <row r="105" spans="1:4" ht="15.75" customHeight="1" x14ac:dyDescent="0.25">
      <c r="A105" s="17"/>
      <c r="B105" s="17"/>
      <c r="C105" s="17"/>
      <c r="D105" s="17"/>
    </row>
    <row r="106" spans="1:4" ht="15.75" customHeight="1" x14ac:dyDescent="0.25">
      <c r="A106" s="17"/>
      <c r="B106" s="17"/>
      <c r="C106" s="17"/>
      <c r="D106" s="17"/>
    </row>
    <row r="107" spans="1:4" ht="15.75" customHeight="1" x14ac:dyDescent="0.25">
      <c r="A107" s="17"/>
      <c r="B107" s="17"/>
      <c r="C107" s="17"/>
      <c r="D107" s="17"/>
    </row>
    <row r="108" spans="1:4" ht="15.75" customHeight="1" x14ac:dyDescent="0.25">
      <c r="A108" s="17"/>
      <c r="B108" s="17"/>
      <c r="C108" s="17"/>
      <c r="D108" s="17"/>
    </row>
    <row r="109" spans="1:4" ht="15.75" customHeight="1" x14ac:dyDescent="0.25">
      <c r="A109" s="17"/>
      <c r="B109" s="17"/>
      <c r="C109" s="17"/>
      <c r="D109" s="17"/>
    </row>
    <row r="110" spans="1:4" ht="15.75" customHeight="1" x14ac:dyDescent="0.25">
      <c r="A110" s="17"/>
      <c r="B110" s="17"/>
      <c r="C110" s="17"/>
      <c r="D110" s="17"/>
    </row>
    <row r="111" spans="1:4" ht="15.75" customHeight="1" x14ac:dyDescent="0.25">
      <c r="A111" s="17"/>
      <c r="B111" s="17"/>
      <c r="C111" s="17"/>
      <c r="D111" s="17"/>
    </row>
    <row r="112" spans="1:4" ht="15.75" customHeight="1" x14ac:dyDescent="0.25">
      <c r="A112" s="17"/>
      <c r="B112" s="17"/>
      <c r="C112" s="17"/>
      <c r="D112" s="17"/>
    </row>
    <row r="113" spans="1:4" ht="15.75" customHeight="1" x14ac:dyDescent="0.25">
      <c r="A113" s="17"/>
      <c r="B113" s="17"/>
      <c r="C113" s="17"/>
      <c r="D113" s="17"/>
    </row>
    <row r="114" spans="1:4" ht="15.75" customHeight="1" x14ac:dyDescent="0.25">
      <c r="A114" s="17"/>
      <c r="B114" s="17"/>
      <c r="C114" s="17"/>
      <c r="D114" s="17"/>
    </row>
    <row r="115" spans="1:4" ht="15.75" customHeight="1" x14ac:dyDescent="0.25">
      <c r="A115" s="17"/>
      <c r="B115" s="17"/>
      <c r="C115" s="17"/>
      <c r="D115" s="17"/>
    </row>
    <row r="116" spans="1:4" ht="15.75" customHeight="1" x14ac:dyDescent="0.25">
      <c r="A116" s="17"/>
      <c r="B116" s="17"/>
      <c r="C116" s="17"/>
      <c r="D116" s="17"/>
    </row>
    <row r="117" spans="1:4" ht="15.75" customHeight="1" x14ac:dyDescent="0.25">
      <c r="A117" s="17"/>
      <c r="B117" s="17"/>
      <c r="C117" s="17"/>
      <c r="D117" s="17"/>
    </row>
    <row r="118" spans="1:4" ht="15.75" customHeight="1" x14ac:dyDescent="0.25">
      <c r="A118" s="17"/>
      <c r="B118" s="17"/>
      <c r="C118" s="17"/>
      <c r="D118" s="17"/>
    </row>
    <row r="119" spans="1:4" ht="15.75" customHeight="1" x14ac:dyDescent="0.25">
      <c r="A119" s="17"/>
      <c r="B119" s="17"/>
      <c r="C119" s="17"/>
      <c r="D119" s="17"/>
    </row>
    <row r="120" spans="1:4" ht="15.75" customHeight="1" x14ac:dyDescent="0.25">
      <c r="A120" s="17"/>
      <c r="B120" s="17"/>
      <c r="C120" s="17"/>
      <c r="D120" s="17"/>
    </row>
    <row r="121" spans="1:4" ht="15.75" customHeight="1" x14ac:dyDescent="0.25">
      <c r="A121" s="17"/>
      <c r="B121" s="17"/>
      <c r="C121" s="17"/>
      <c r="D121" s="17"/>
    </row>
    <row r="122" spans="1:4" ht="15.75" customHeight="1" x14ac:dyDescent="0.25">
      <c r="A122" s="17"/>
      <c r="B122" s="17"/>
      <c r="C122" s="17"/>
      <c r="D122" s="17"/>
    </row>
    <row r="123" spans="1:4" ht="15.75" customHeight="1" x14ac:dyDescent="0.25">
      <c r="A123" s="17"/>
      <c r="B123" s="17"/>
      <c r="C123" s="17"/>
      <c r="D123" s="17"/>
    </row>
    <row r="124" spans="1:4" ht="15.75" customHeight="1" x14ac:dyDescent="0.25">
      <c r="A124" s="17"/>
      <c r="B124" s="17"/>
      <c r="C124" s="17"/>
      <c r="D124" s="17"/>
    </row>
    <row r="125" spans="1:4" ht="15.75" customHeight="1" x14ac:dyDescent="0.25">
      <c r="A125" s="17"/>
      <c r="B125" s="17"/>
      <c r="C125" s="17"/>
      <c r="D125" s="17"/>
    </row>
    <row r="126" spans="1:4" ht="15.75" customHeight="1" x14ac:dyDescent="0.25">
      <c r="A126" s="17"/>
      <c r="B126" s="17"/>
      <c r="C126" s="17"/>
      <c r="D126" s="17"/>
    </row>
    <row r="127" spans="1:4" ht="15.75" customHeight="1" x14ac:dyDescent="0.25">
      <c r="A127" s="17"/>
      <c r="B127" s="17"/>
      <c r="C127" s="17"/>
      <c r="D127" s="17"/>
    </row>
    <row r="128" spans="1:4" ht="15.75" customHeight="1" x14ac:dyDescent="0.25">
      <c r="A128" s="17"/>
      <c r="B128" s="17"/>
      <c r="C128" s="17"/>
      <c r="D128" s="17"/>
    </row>
    <row r="129" spans="1:4" ht="15.75" customHeight="1" x14ac:dyDescent="0.25">
      <c r="A129" s="17"/>
      <c r="B129" s="17"/>
      <c r="C129" s="17"/>
      <c r="D129" s="17"/>
    </row>
    <row r="130" spans="1:4" ht="15.75" customHeight="1" x14ac:dyDescent="0.25">
      <c r="A130" s="17"/>
      <c r="B130" s="17"/>
      <c r="C130" s="17"/>
      <c r="D130" s="17"/>
    </row>
    <row r="131" spans="1:4" ht="15.75" customHeight="1" x14ac:dyDescent="0.25">
      <c r="A131" s="17"/>
      <c r="B131" s="17"/>
      <c r="C131" s="17"/>
      <c r="D131" s="17"/>
    </row>
    <row r="132" spans="1:4" ht="15.75" customHeight="1" x14ac:dyDescent="0.25">
      <c r="A132" s="17"/>
      <c r="B132" s="17"/>
      <c r="C132" s="17"/>
      <c r="D132" s="17"/>
    </row>
    <row r="133" spans="1:4" ht="15.75" customHeight="1" x14ac:dyDescent="0.25">
      <c r="A133" s="17"/>
      <c r="B133" s="17"/>
      <c r="C133" s="17"/>
      <c r="D133" s="17"/>
    </row>
    <row r="134" spans="1:4" ht="15.75" customHeight="1" x14ac:dyDescent="0.25">
      <c r="A134" s="17"/>
      <c r="B134" s="17"/>
      <c r="C134" s="17"/>
      <c r="D134" s="17"/>
    </row>
    <row r="135" spans="1:4" ht="15.75" customHeight="1" x14ac:dyDescent="0.25">
      <c r="A135" s="17"/>
      <c r="B135" s="17"/>
      <c r="C135" s="17"/>
      <c r="D135" s="17"/>
    </row>
    <row r="136" spans="1:4" ht="15.75" customHeight="1" x14ac:dyDescent="0.25">
      <c r="A136" s="17"/>
      <c r="B136" s="17"/>
      <c r="C136" s="17"/>
      <c r="D136" s="17"/>
    </row>
    <row r="137" spans="1:4" ht="15.75" customHeight="1" x14ac:dyDescent="0.25">
      <c r="A137" s="17"/>
      <c r="B137" s="17"/>
      <c r="C137" s="17"/>
      <c r="D137" s="17"/>
    </row>
    <row r="138" spans="1:4" ht="15.75" customHeight="1" x14ac:dyDescent="0.25">
      <c r="A138" s="17"/>
      <c r="B138" s="17"/>
      <c r="C138" s="17"/>
      <c r="D138" s="17"/>
    </row>
    <row r="139" spans="1:4" ht="15.75" customHeight="1" x14ac:dyDescent="0.25">
      <c r="A139" s="17"/>
      <c r="B139" s="17"/>
      <c r="C139" s="17"/>
      <c r="D139" s="17"/>
    </row>
    <row r="140" spans="1:4" ht="15.75" customHeight="1" x14ac:dyDescent="0.25">
      <c r="A140" s="17"/>
      <c r="B140" s="17"/>
      <c r="C140" s="17"/>
      <c r="D140" s="17"/>
    </row>
    <row r="141" spans="1:4" ht="15.75" customHeight="1" x14ac:dyDescent="0.25">
      <c r="A141" s="17"/>
      <c r="B141" s="17"/>
      <c r="C141" s="17"/>
      <c r="D141" s="17"/>
    </row>
    <row r="142" spans="1:4" ht="15.75" customHeight="1" x14ac:dyDescent="0.25">
      <c r="A142" s="17"/>
      <c r="B142" s="17"/>
      <c r="C142" s="17"/>
      <c r="D142" s="17"/>
    </row>
    <row r="143" spans="1:4" ht="15.75" customHeight="1" x14ac:dyDescent="0.25">
      <c r="A143" s="17"/>
      <c r="B143" s="17"/>
      <c r="C143" s="17"/>
      <c r="D143" s="17"/>
    </row>
    <row r="144" spans="1:4" ht="15.75" customHeight="1" x14ac:dyDescent="0.25">
      <c r="A144" s="17"/>
      <c r="B144" s="17"/>
      <c r="C144" s="17"/>
      <c r="D144" s="17"/>
    </row>
    <row r="145" spans="1:4" ht="15.75" customHeight="1" x14ac:dyDescent="0.25">
      <c r="A145" s="17"/>
      <c r="B145" s="17"/>
      <c r="C145" s="17"/>
      <c r="D145" s="17"/>
    </row>
    <row r="146" spans="1:4" ht="15.75" customHeight="1" x14ac:dyDescent="0.25">
      <c r="A146" s="17"/>
      <c r="B146" s="17"/>
      <c r="C146" s="17"/>
      <c r="D146" s="17"/>
    </row>
    <row r="147" spans="1:4" ht="15.75" customHeight="1" x14ac:dyDescent="0.25">
      <c r="A147" s="17"/>
      <c r="B147" s="17"/>
      <c r="C147" s="17"/>
      <c r="D147" s="17"/>
    </row>
    <row r="148" spans="1:4" ht="15.75" customHeight="1" x14ac:dyDescent="0.25">
      <c r="A148" s="17"/>
      <c r="B148" s="17"/>
      <c r="C148" s="17"/>
      <c r="D148" s="17"/>
    </row>
    <row r="149" spans="1:4" ht="15.75" customHeight="1" x14ac:dyDescent="0.25">
      <c r="A149" s="17"/>
      <c r="B149" s="17"/>
      <c r="C149" s="17"/>
      <c r="D149" s="17"/>
    </row>
    <row r="150" spans="1:4" ht="15.75" customHeight="1" x14ac:dyDescent="0.25">
      <c r="A150" s="17"/>
      <c r="B150" s="17"/>
      <c r="C150" s="17"/>
      <c r="D150" s="17"/>
    </row>
    <row r="151" spans="1:4" ht="15.75" customHeight="1" x14ac:dyDescent="0.25">
      <c r="A151" s="17"/>
      <c r="B151" s="17"/>
      <c r="C151" s="17"/>
      <c r="D151" s="17"/>
    </row>
    <row r="152" spans="1:4" ht="15.75" customHeight="1" x14ac:dyDescent="0.25">
      <c r="A152" s="17"/>
      <c r="B152" s="17"/>
      <c r="C152" s="17"/>
      <c r="D152" s="17"/>
    </row>
    <row r="153" spans="1:4" ht="15.75" customHeight="1" x14ac:dyDescent="0.25">
      <c r="A153" s="17"/>
      <c r="B153" s="17"/>
      <c r="C153" s="17"/>
      <c r="D153" s="17"/>
    </row>
    <row r="154" spans="1:4" ht="15.75" customHeight="1" x14ac:dyDescent="0.25">
      <c r="A154" s="17"/>
      <c r="B154" s="17"/>
      <c r="C154" s="17"/>
      <c r="D154" s="17"/>
    </row>
    <row r="155" spans="1:4" ht="15.75" customHeight="1" x14ac:dyDescent="0.25">
      <c r="A155" s="17"/>
      <c r="B155" s="17"/>
      <c r="C155" s="17"/>
      <c r="D155" s="17"/>
    </row>
    <row r="156" spans="1:4" ht="15.75" customHeight="1" x14ac:dyDescent="0.25">
      <c r="A156" s="17"/>
      <c r="B156" s="17"/>
      <c r="C156" s="17"/>
      <c r="D156" s="17"/>
    </row>
    <row r="157" spans="1:4" ht="15.75" customHeight="1" x14ac:dyDescent="0.25">
      <c r="A157" s="17"/>
      <c r="B157" s="17"/>
      <c r="C157" s="17"/>
      <c r="D157" s="17"/>
    </row>
    <row r="158" spans="1:4" ht="15.75" customHeight="1" x14ac:dyDescent="0.25">
      <c r="A158" s="17"/>
      <c r="B158" s="17"/>
      <c r="C158" s="17"/>
      <c r="D158" s="17"/>
    </row>
    <row r="159" spans="1:4" ht="15.75" customHeight="1" x14ac:dyDescent="0.25">
      <c r="A159" s="17"/>
      <c r="B159" s="17"/>
      <c r="C159" s="17"/>
      <c r="D159" s="17"/>
    </row>
    <row r="160" spans="1:4" ht="15.75" customHeight="1" x14ac:dyDescent="0.25">
      <c r="A160" s="17"/>
      <c r="B160" s="17"/>
      <c r="C160" s="17"/>
      <c r="D160" s="17"/>
    </row>
    <row r="161" spans="1:4" ht="15.75" customHeight="1" x14ac:dyDescent="0.25">
      <c r="A161" s="17"/>
      <c r="B161" s="17"/>
      <c r="C161" s="17"/>
      <c r="D161" s="17"/>
    </row>
    <row r="162" spans="1:4" ht="15.75" customHeight="1" x14ac:dyDescent="0.25">
      <c r="A162" s="17"/>
      <c r="B162" s="17"/>
      <c r="C162" s="17"/>
      <c r="D162" s="17"/>
    </row>
    <row r="163" spans="1:4" ht="15.75" customHeight="1" x14ac:dyDescent="0.25">
      <c r="A163" s="17"/>
      <c r="B163" s="17"/>
      <c r="C163" s="17"/>
      <c r="D163" s="17"/>
    </row>
    <row r="164" spans="1:4" ht="15.75" customHeight="1" x14ac:dyDescent="0.25">
      <c r="A164" s="17"/>
      <c r="B164" s="17"/>
      <c r="C164" s="17"/>
      <c r="D164" s="17"/>
    </row>
    <row r="165" spans="1:4" ht="15.75" customHeight="1" x14ac:dyDescent="0.25">
      <c r="A165" s="17"/>
      <c r="B165" s="17"/>
      <c r="C165" s="17"/>
      <c r="D165" s="17"/>
    </row>
    <row r="166" spans="1:4" ht="15.75" customHeight="1" x14ac:dyDescent="0.25">
      <c r="A166" s="17"/>
      <c r="B166" s="17"/>
      <c r="C166" s="17"/>
      <c r="D166" s="17"/>
    </row>
    <row r="167" spans="1:4" ht="15.75" customHeight="1" x14ac:dyDescent="0.25">
      <c r="A167" s="17"/>
      <c r="B167" s="17"/>
      <c r="C167" s="17"/>
      <c r="D167" s="17"/>
    </row>
    <row r="168" spans="1:4" ht="15.75" customHeight="1" x14ac:dyDescent="0.25">
      <c r="A168" s="17"/>
      <c r="B168" s="17"/>
      <c r="C168" s="17"/>
      <c r="D168" s="17"/>
    </row>
    <row r="169" spans="1:4" ht="15.75" customHeight="1" x14ac:dyDescent="0.25">
      <c r="A169" s="17"/>
      <c r="B169" s="17"/>
      <c r="C169" s="17"/>
      <c r="D169" s="17"/>
    </row>
    <row r="170" spans="1:4" ht="15.75" customHeight="1" x14ac:dyDescent="0.25">
      <c r="A170" s="17"/>
      <c r="B170" s="17"/>
      <c r="C170" s="17"/>
      <c r="D170" s="17"/>
    </row>
    <row r="171" spans="1:4" ht="15.75" customHeight="1" x14ac:dyDescent="0.25">
      <c r="A171" s="17"/>
      <c r="B171" s="17"/>
      <c r="C171" s="17"/>
      <c r="D171" s="17"/>
    </row>
    <row r="172" spans="1:4" ht="15.75" customHeight="1" x14ac:dyDescent="0.25">
      <c r="A172" s="17"/>
      <c r="B172" s="17"/>
      <c r="C172" s="17"/>
      <c r="D172" s="17"/>
    </row>
    <row r="173" spans="1:4" ht="15.75" customHeight="1" x14ac:dyDescent="0.25">
      <c r="A173" s="17"/>
      <c r="B173" s="17"/>
      <c r="C173" s="17"/>
      <c r="D173" s="17"/>
    </row>
    <row r="174" spans="1:4" ht="15.75" customHeight="1" x14ac:dyDescent="0.25">
      <c r="A174" s="17"/>
      <c r="B174" s="17"/>
      <c r="C174" s="17"/>
      <c r="D174" s="17"/>
    </row>
    <row r="175" spans="1:4" ht="15.75" customHeight="1" x14ac:dyDescent="0.25">
      <c r="A175" s="17"/>
      <c r="B175" s="17"/>
      <c r="C175" s="17"/>
      <c r="D175" s="17"/>
    </row>
    <row r="176" spans="1:4" ht="15.75" customHeight="1" x14ac:dyDescent="0.25">
      <c r="A176" s="17"/>
      <c r="B176" s="17"/>
      <c r="C176" s="17"/>
      <c r="D176" s="17"/>
    </row>
    <row r="177" spans="1:4" ht="15.75" customHeight="1" x14ac:dyDescent="0.25">
      <c r="A177" s="17"/>
      <c r="B177" s="17"/>
      <c r="C177" s="17"/>
      <c r="D177" s="17"/>
    </row>
    <row r="178" spans="1:4" ht="15.75" customHeight="1" x14ac:dyDescent="0.25">
      <c r="A178" s="17"/>
      <c r="B178" s="17"/>
      <c r="C178" s="17"/>
      <c r="D178" s="17"/>
    </row>
    <row r="179" spans="1:4" ht="15.75" customHeight="1" x14ac:dyDescent="0.25">
      <c r="A179" s="17"/>
      <c r="B179" s="17"/>
      <c r="C179" s="17"/>
      <c r="D179" s="17"/>
    </row>
    <row r="180" spans="1:4" ht="15.75" customHeight="1" x14ac:dyDescent="0.25">
      <c r="A180" s="17"/>
      <c r="B180" s="17"/>
      <c r="C180" s="17"/>
      <c r="D180" s="17"/>
    </row>
    <row r="181" spans="1:4" ht="15.75" customHeight="1" x14ac:dyDescent="0.25">
      <c r="A181" s="17"/>
      <c r="B181" s="17"/>
      <c r="C181" s="17"/>
      <c r="D181" s="17"/>
    </row>
    <row r="182" spans="1:4" ht="15.75" customHeight="1" x14ac:dyDescent="0.25">
      <c r="A182" s="17"/>
      <c r="B182" s="17"/>
      <c r="C182" s="17"/>
      <c r="D182" s="17"/>
    </row>
    <row r="183" spans="1:4" ht="15.75" customHeight="1" x14ac:dyDescent="0.25">
      <c r="A183" s="17"/>
      <c r="B183" s="17"/>
      <c r="C183" s="17"/>
      <c r="D183" s="17"/>
    </row>
    <row r="184" spans="1:4" ht="15.75" customHeight="1" x14ac:dyDescent="0.25">
      <c r="A184" s="17"/>
      <c r="B184" s="17"/>
      <c r="C184" s="17"/>
      <c r="D184" s="17"/>
    </row>
    <row r="185" spans="1:4" ht="15.75" customHeight="1" x14ac:dyDescent="0.25">
      <c r="A185" s="17"/>
      <c r="B185" s="17"/>
      <c r="C185" s="17"/>
      <c r="D185" s="17"/>
    </row>
    <row r="186" spans="1:4" ht="15.75" customHeight="1" x14ac:dyDescent="0.25">
      <c r="A186" s="17"/>
      <c r="B186" s="17"/>
      <c r="C186" s="17"/>
      <c r="D186" s="17"/>
    </row>
    <row r="187" spans="1:4" ht="15.75" customHeight="1" x14ac:dyDescent="0.25">
      <c r="A187" s="17"/>
      <c r="B187" s="17"/>
      <c r="C187" s="17"/>
      <c r="D187" s="17"/>
    </row>
    <row r="188" spans="1:4" ht="15.75" customHeight="1" x14ac:dyDescent="0.25">
      <c r="A188" s="17"/>
      <c r="B188" s="17"/>
      <c r="C188" s="17"/>
      <c r="D188" s="17"/>
    </row>
    <row r="189" spans="1:4" ht="15.75" customHeight="1" x14ac:dyDescent="0.25">
      <c r="A189" s="17"/>
      <c r="B189" s="17"/>
      <c r="C189" s="17"/>
      <c r="D189" s="17"/>
    </row>
    <row r="190" spans="1:4" ht="15.75" customHeight="1" x14ac:dyDescent="0.25">
      <c r="A190" s="17"/>
      <c r="B190" s="17"/>
      <c r="C190" s="17"/>
      <c r="D190" s="17"/>
    </row>
    <row r="191" spans="1:4" ht="15.75" customHeight="1" x14ac:dyDescent="0.25">
      <c r="A191" s="17"/>
      <c r="B191" s="17"/>
      <c r="C191" s="17"/>
      <c r="D191" s="17"/>
    </row>
    <row r="192" spans="1:4" ht="15.75" customHeight="1" x14ac:dyDescent="0.25">
      <c r="A192" s="17"/>
      <c r="B192" s="17"/>
      <c r="C192" s="17"/>
      <c r="D192" s="17"/>
    </row>
    <row r="193" spans="1:4" ht="15.75" customHeight="1" x14ac:dyDescent="0.25">
      <c r="A193" s="17"/>
      <c r="B193" s="17"/>
      <c r="C193" s="17"/>
      <c r="D193" s="17"/>
    </row>
    <row r="194" spans="1:4" ht="15.75" customHeight="1" x14ac:dyDescent="0.25">
      <c r="A194" s="17"/>
      <c r="B194" s="17"/>
      <c r="C194" s="17"/>
      <c r="D194" s="17"/>
    </row>
    <row r="195" spans="1:4" ht="15.75" customHeight="1" x14ac:dyDescent="0.25">
      <c r="A195" s="17"/>
      <c r="B195" s="17"/>
      <c r="C195" s="17"/>
      <c r="D195" s="17"/>
    </row>
    <row r="196" spans="1:4" ht="15.75" customHeight="1" x14ac:dyDescent="0.25">
      <c r="A196" s="17"/>
      <c r="B196" s="17"/>
      <c r="C196" s="17"/>
      <c r="D196" s="17"/>
    </row>
    <row r="197" spans="1:4" ht="15.75" customHeight="1" x14ac:dyDescent="0.25">
      <c r="A197" s="17"/>
      <c r="B197" s="17"/>
      <c r="C197" s="17"/>
      <c r="D197" s="17"/>
    </row>
    <row r="198" spans="1:4" ht="15.75" customHeight="1" x14ac:dyDescent="0.25">
      <c r="A198" s="17"/>
      <c r="B198" s="17"/>
      <c r="C198" s="17"/>
      <c r="D198" s="17"/>
    </row>
    <row r="199" spans="1:4" ht="15.75" customHeight="1" x14ac:dyDescent="0.25">
      <c r="A199" s="17"/>
      <c r="B199" s="17"/>
      <c r="C199" s="17"/>
      <c r="D199" s="17"/>
    </row>
    <row r="200" spans="1:4" ht="15.75" customHeight="1" x14ac:dyDescent="0.25">
      <c r="A200" s="17"/>
      <c r="B200" s="17"/>
      <c r="C200" s="17"/>
      <c r="D200" s="17"/>
    </row>
    <row r="201" spans="1:4" ht="15.75" customHeight="1" x14ac:dyDescent="0.25">
      <c r="A201" s="17"/>
      <c r="B201" s="17"/>
      <c r="C201" s="17"/>
      <c r="D201" s="17"/>
    </row>
    <row r="202" spans="1:4" ht="15.75" customHeight="1" x14ac:dyDescent="0.25">
      <c r="A202" s="17"/>
      <c r="B202" s="17"/>
      <c r="C202" s="17"/>
      <c r="D202" s="17"/>
    </row>
    <row r="203" spans="1:4" ht="15.75" customHeight="1" x14ac:dyDescent="0.25">
      <c r="A203" s="17"/>
      <c r="B203" s="17"/>
      <c r="C203" s="17"/>
      <c r="D203" s="17"/>
    </row>
    <row r="204" spans="1:4" ht="15.75" customHeight="1" x14ac:dyDescent="0.25">
      <c r="A204" s="17"/>
      <c r="B204" s="17"/>
      <c r="C204" s="17"/>
      <c r="D204" s="17"/>
    </row>
    <row r="205" spans="1:4" ht="15.75" customHeight="1" x14ac:dyDescent="0.25">
      <c r="A205" s="17"/>
      <c r="B205" s="17"/>
      <c r="C205" s="17"/>
      <c r="D205" s="17"/>
    </row>
    <row r="206" spans="1:4" ht="15.75" customHeight="1" x14ac:dyDescent="0.25">
      <c r="A206" s="17"/>
      <c r="B206" s="17"/>
      <c r="C206" s="17"/>
      <c r="D206" s="17"/>
    </row>
    <row r="207" spans="1:4" ht="15.75" customHeight="1" x14ac:dyDescent="0.25">
      <c r="A207" s="17"/>
      <c r="B207" s="17"/>
      <c r="C207" s="17"/>
      <c r="D207" s="17"/>
    </row>
    <row r="208" spans="1:4" ht="15.75" customHeight="1" x14ac:dyDescent="0.25">
      <c r="A208" s="17"/>
      <c r="B208" s="17"/>
      <c r="C208" s="17"/>
      <c r="D208" s="17"/>
    </row>
    <row r="209" spans="1:4" ht="15.75" customHeight="1" x14ac:dyDescent="0.25">
      <c r="A209" s="17"/>
      <c r="B209" s="17"/>
      <c r="C209" s="17"/>
      <c r="D209" s="17"/>
    </row>
    <row r="210" spans="1:4" ht="15.75" customHeight="1" x14ac:dyDescent="0.25">
      <c r="A210" s="17"/>
      <c r="B210" s="17"/>
      <c r="C210" s="17"/>
      <c r="D210" s="17"/>
    </row>
    <row r="211" spans="1:4" ht="15.75" customHeight="1" x14ac:dyDescent="0.25">
      <c r="A211" s="17"/>
      <c r="B211" s="17"/>
      <c r="C211" s="17"/>
      <c r="D211" s="17"/>
    </row>
    <row r="212" spans="1:4" ht="15.75" customHeight="1" x14ac:dyDescent="0.25">
      <c r="A212" s="17"/>
      <c r="B212" s="17"/>
      <c r="C212" s="17"/>
      <c r="D212" s="17"/>
    </row>
    <row r="213" spans="1:4" ht="15.75" customHeight="1" x14ac:dyDescent="0.25">
      <c r="A213" s="17"/>
      <c r="B213" s="17"/>
      <c r="C213" s="17"/>
      <c r="D213" s="17"/>
    </row>
    <row r="214" spans="1:4" ht="15.75" customHeight="1" x14ac:dyDescent="0.25">
      <c r="A214" s="17"/>
      <c r="B214" s="17"/>
      <c r="C214" s="17"/>
      <c r="D214" s="17"/>
    </row>
    <row r="215" spans="1:4" ht="15.75" customHeight="1" x14ac:dyDescent="0.25">
      <c r="A215" s="17"/>
      <c r="B215" s="17"/>
      <c r="C215" s="17"/>
      <c r="D215" s="17"/>
    </row>
    <row r="216" spans="1:4" ht="15.75" customHeight="1" x14ac:dyDescent="0.25">
      <c r="A216" s="17"/>
      <c r="B216" s="17"/>
      <c r="C216" s="17"/>
      <c r="D216" s="17"/>
    </row>
    <row r="217" spans="1:4" ht="15.75" customHeight="1" x14ac:dyDescent="0.25">
      <c r="A217" s="17"/>
      <c r="B217" s="17"/>
      <c r="C217" s="17"/>
      <c r="D217" s="17"/>
    </row>
    <row r="218" spans="1:4" ht="15.75" customHeight="1" x14ac:dyDescent="0.25">
      <c r="A218" s="17"/>
      <c r="B218" s="17"/>
      <c r="C218" s="17"/>
      <c r="D218" s="17"/>
    </row>
    <row r="219" spans="1:4" ht="15.75" customHeight="1" x14ac:dyDescent="0.25">
      <c r="A219" s="17"/>
      <c r="B219" s="17"/>
      <c r="C219" s="17"/>
      <c r="D219" s="17"/>
    </row>
    <row r="220" spans="1:4" ht="15.75" customHeight="1" x14ac:dyDescent="0.25">
      <c r="A220" s="17"/>
      <c r="B220" s="17"/>
      <c r="C220" s="17"/>
      <c r="D220" s="17"/>
    </row>
    <row r="221" spans="1:4" ht="15.75" customHeight="1" x14ac:dyDescent="0.25">
      <c r="A221" s="17"/>
      <c r="B221" s="17"/>
      <c r="C221" s="17"/>
      <c r="D221" s="17"/>
    </row>
    <row r="222" spans="1:4" ht="15.75" customHeight="1" x14ac:dyDescent="0.25">
      <c r="A222" s="17"/>
      <c r="B222" s="17"/>
      <c r="C222" s="17"/>
      <c r="D222" s="17"/>
    </row>
    <row r="223" spans="1:4" ht="15.75" customHeight="1" x14ac:dyDescent="0.25">
      <c r="A223" s="17"/>
      <c r="B223" s="17"/>
      <c r="C223" s="17"/>
      <c r="D223" s="17"/>
    </row>
    <row r="224" spans="1:4" ht="15.75" customHeight="1" x14ac:dyDescent="0.25">
      <c r="A224" s="17"/>
      <c r="B224" s="17"/>
      <c r="C224" s="17"/>
      <c r="D224" s="17"/>
    </row>
    <row r="225" spans="1:4" ht="15.75" customHeight="1" x14ac:dyDescent="0.25">
      <c r="A225" s="17"/>
      <c r="B225" s="17"/>
      <c r="C225" s="17"/>
      <c r="D225" s="17"/>
    </row>
    <row r="226" spans="1:4" ht="15.75" customHeight="1" x14ac:dyDescent="0.25">
      <c r="A226" s="17"/>
      <c r="B226" s="17"/>
      <c r="C226" s="17"/>
      <c r="D226" s="17"/>
    </row>
    <row r="227" spans="1:4" ht="15.75" customHeight="1" x14ac:dyDescent="0.25">
      <c r="A227" s="17"/>
      <c r="B227" s="17"/>
      <c r="C227" s="17"/>
      <c r="D227" s="17"/>
    </row>
    <row r="228" spans="1:4" ht="15.75" customHeight="1" x14ac:dyDescent="0.25">
      <c r="A228" s="17"/>
      <c r="B228" s="17"/>
      <c r="C228" s="17"/>
      <c r="D228" s="17"/>
    </row>
    <row r="229" spans="1:4" ht="15.75" customHeight="1" x14ac:dyDescent="0.25">
      <c r="A229" s="17"/>
      <c r="B229" s="17"/>
      <c r="C229" s="17"/>
      <c r="D229" s="17"/>
    </row>
    <row r="230" spans="1:4" ht="15.75" customHeight="1" x14ac:dyDescent="0.25">
      <c r="A230" s="17"/>
      <c r="B230" s="17"/>
      <c r="C230" s="17"/>
      <c r="D230" s="17"/>
    </row>
    <row r="231" spans="1:4" ht="15.75" customHeight="1" x14ac:dyDescent="0.25">
      <c r="A231" s="17"/>
      <c r="B231" s="17"/>
      <c r="C231" s="17"/>
      <c r="D231" s="17"/>
    </row>
    <row r="232" spans="1:4" ht="15.75" customHeight="1" x14ac:dyDescent="0.25">
      <c r="A232" s="17"/>
      <c r="B232" s="17"/>
      <c r="C232" s="17"/>
      <c r="D232" s="17"/>
    </row>
    <row r="233" spans="1:4" ht="15.75" customHeight="1" x14ac:dyDescent="0.25">
      <c r="A233" s="17"/>
      <c r="B233" s="17"/>
      <c r="C233" s="17"/>
      <c r="D233" s="17"/>
    </row>
    <row r="234" spans="1:4" ht="15.75" customHeight="1" x14ac:dyDescent="0.25">
      <c r="A234" s="17"/>
      <c r="B234" s="17"/>
      <c r="C234" s="17"/>
      <c r="D234" s="17"/>
    </row>
    <row r="235" spans="1:4" ht="15.75" customHeight="1" x14ac:dyDescent="0.25">
      <c r="A235" s="17"/>
      <c r="B235" s="17"/>
      <c r="C235" s="17"/>
      <c r="D235" s="17"/>
    </row>
    <row r="236" spans="1:4" ht="15.75" customHeight="1" x14ac:dyDescent="0.25">
      <c r="A236" s="17"/>
      <c r="B236" s="17"/>
      <c r="C236" s="17"/>
      <c r="D236" s="17"/>
    </row>
    <row r="237" spans="1:4" ht="15.75" customHeight="1" x14ac:dyDescent="0.25">
      <c r="A237" s="17"/>
      <c r="B237" s="17"/>
      <c r="C237" s="17"/>
      <c r="D237" s="17"/>
    </row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28:G28"/>
    <mergeCell ref="T2:T6"/>
    <mergeCell ref="X2:X6"/>
    <mergeCell ref="T7:T15"/>
    <mergeCell ref="X7:X15"/>
    <mergeCell ref="A12:G12"/>
    <mergeCell ref="X16:X25"/>
    <mergeCell ref="X26:X30"/>
    <mergeCell ref="X31:X33"/>
    <mergeCell ref="X34:X36"/>
    <mergeCell ref="T26:T30"/>
    <mergeCell ref="T31:T33"/>
    <mergeCell ref="T34:T36"/>
    <mergeCell ref="T16:T25"/>
  </mergeCells>
  <dataValidations count="1">
    <dataValidation type="list" allowBlank="1" showErrorMessage="1" sqref="F14:F25 F30:F40" xr:uid="{00000000-0002-0000-0200-000000000000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000"/>
  <sheetViews>
    <sheetView workbookViewId="0"/>
  </sheetViews>
  <sheetFormatPr defaultColWidth="12.6640625" defaultRowHeight="15" customHeight="1" x14ac:dyDescent="0.25"/>
  <cols>
    <col min="1" max="1" width="5.77734375" customWidth="1"/>
    <col min="2" max="2" width="11.8867187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7.21875" customWidth="1"/>
    <col min="9" max="9" width="29.44140625" customWidth="1"/>
    <col min="11" max="11" width="34.44140625" customWidth="1"/>
    <col min="14" max="14" width="9" customWidth="1"/>
    <col min="15" max="15" width="8.33203125" customWidth="1"/>
    <col min="16" max="16" width="50.109375" customWidth="1"/>
    <col min="17" max="17" width="27.2187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1" t="s">
        <v>7</v>
      </c>
      <c r="N1" s="3" t="s">
        <v>0</v>
      </c>
      <c r="O1" s="3" t="s">
        <v>1</v>
      </c>
      <c r="P1" s="3" t="s">
        <v>9</v>
      </c>
      <c r="Q1" s="3" t="s">
        <v>10</v>
      </c>
    </row>
    <row r="2" spans="1:17" ht="15.75" customHeight="1" x14ac:dyDescent="0.25">
      <c r="A2" s="5">
        <v>1</v>
      </c>
      <c r="B2" s="6">
        <v>11</v>
      </c>
      <c r="C2" s="7">
        <v>4</v>
      </c>
      <c r="D2" s="8">
        <v>50</v>
      </c>
      <c r="I2" s="80" t="s">
        <v>158</v>
      </c>
      <c r="J2" s="81">
        <v>1</v>
      </c>
      <c r="K2" s="82" t="s">
        <v>24</v>
      </c>
      <c r="L2" s="12">
        <v>1</v>
      </c>
      <c r="N2" s="83">
        <v>1</v>
      </c>
      <c r="O2" s="6">
        <v>11</v>
      </c>
      <c r="P2" s="24" t="s">
        <v>159</v>
      </c>
      <c r="Q2" s="24" t="s">
        <v>160</v>
      </c>
    </row>
    <row r="3" spans="1:17" ht="15.75" customHeight="1" x14ac:dyDescent="0.25">
      <c r="A3" s="5">
        <v>2</v>
      </c>
      <c r="B3" s="16">
        <v>11</v>
      </c>
      <c r="C3" s="7">
        <v>4</v>
      </c>
      <c r="D3" s="17"/>
      <c r="I3" s="80" t="s">
        <v>161</v>
      </c>
      <c r="J3" s="81">
        <v>1</v>
      </c>
      <c r="K3" s="82" t="s">
        <v>24</v>
      </c>
      <c r="L3" s="12">
        <v>2</v>
      </c>
      <c r="N3" s="83">
        <v>2</v>
      </c>
      <c r="O3" s="16">
        <v>11</v>
      </c>
      <c r="P3" s="24" t="s">
        <v>47</v>
      </c>
      <c r="Q3" s="24" t="s">
        <v>47</v>
      </c>
    </row>
    <row r="4" spans="1:17" ht="15.75" customHeight="1" x14ac:dyDescent="0.25">
      <c r="A4" s="5">
        <v>3</v>
      </c>
      <c r="B4" s="16">
        <f>B3+5+4</f>
        <v>20</v>
      </c>
      <c r="C4" s="7">
        <v>6.5</v>
      </c>
      <c r="D4" s="17"/>
      <c r="I4" s="80" t="s">
        <v>162</v>
      </c>
      <c r="J4" s="81">
        <v>1</v>
      </c>
      <c r="K4" s="82" t="s">
        <v>24</v>
      </c>
      <c r="L4" s="12">
        <v>1</v>
      </c>
      <c r="N4" s="83">
        <v>3</v>
      </c>
      <c r="O4" s="16">
        <f>O3+5+4</f>
        <v>20</v>
      </c>
      <c r="P4" s="24" t="s">
        <v>163</v>
      </c>
      <c r="Q4" s="24" t="s">
        <v>164</v>
      </c>
    </row>
    <row r="5" spans="1:17" ht="15.75" customHeight="1" x14ac:dyDescent="0.25">
      <c r="A5" s="5">
        <v>4</v>
      </c>
      <c r="B5" s="16">
        <f>B4+6+2.5</f>
        <v>28.5</v>
      </c>
      <c r="C5" s="7">
        <v>12.5</v>
      </c>
      <c r="D5" s="17"/>
      <c r="I5" s="80" t="s">
        <v>165</v>
      </c>
      <c r="J5" s="81">
        <v>1</v>
      </c>
      <c r="K5" s="82" t="s">
        <v>166</v>
      </c>
      <c r="L5" s="12">
        <v>6</v>
      </c>
      <c r="N5" s="83">
        <v>4</v>
      </c>
      <c r="O5" s="16">
        <f>O4+6+2.5</f>
        <v>28.5</v>
      </c>
      <c r="P5" s="24" t="s">
        <v>167</v>
      </c>
      <c r="Q5" s="24" t="s">
        <v>168</v>
      </c>
    </row>
    <row r="6" spans="1:17" ht="15.75" customHeight="1" x14ac:dyDescent="0.25">
      <c r="A6" s="5">
        <v>5</v>
      </c>
      <c r="B6" s="16">
        <f>B5+5</f>
        <v>33.5</v>
      </c>
      <c r="C6" s="7">
        <f>C5+2.5</f>
        <v>15</v>
      </c>
      <c r="D6" s="17"/>
      <c r="I6" s="80" t="s">
        <v>169</v>
      </c>
      <c r="J6" s="81">
        <v>1</v>
      </c>
      <c r="K6" s="82" t="s">
        <v>166</v>
      </c>
      <c r="L6" s="12">
        <v>5</v>
      </c>
      <c r="N6" s="83">
        <v>5</v>
      </c>
      <c r="O6" s="16">
        <f>O5+5</f>
        <v>33.5</v>
      </c>
      <c r="P6" s="24" t="s">
        <v>170</v>
      </c>
      <c r="Q6" s="24" t="s">
        <v>164</v>
      </c>
    </row>
    <row r="7" spans="1:17" ht="15.75" customHeight="1" x14ac:dyDescent="0.25">
      <c r="A7" s="5">
        <v>6</v>
      </c>
      <c r="B7" s="16">
        <f>B6+3</f>
        <v>36.5</v>
      </c>
      <c r="C7" s="7">
        <f>C6+10</f>
        <v>25</v>
      </c>
      <c r="D7" s="17"/>
      <c r="I7" s="80" t="s">
        <v>97</v>
      </c>
      <c r="J7" s="81">
        <v>1</v>
      </c>
      <c r="K7" s="82" t="s">
        <v>30</v>
      </c>
      <c r="L7" s="12">
        <v>3</v>
      </c>
      <c r="N7" s="83">
        <v>6</v>
      </c>
      <c r="O7" s="16">
        <f>O6+5+3</f>
        <v>41.5</v>
      </c>
      <c r="P7" s="24" t="s">
        <v>171</v>
      </c>
      <c r="Q7" s="24" t="s">
        <v>172</v>
      </c>
    </row>
    <row r="8" spans="1:17" ht="15.75" customHeight="1" x14ac:dyDescent="0.25">
      <c r="A8" s="5">
        <v>7</v>
      </c>
      <c r="B8" s="16">
        <f>B7+5</f>
        <v>41.5</v>
      </c>
      <c r="C8" s="7">
        <f>C7+16.5</f>
        <v>41.5</v>
      </c>
      <c r="D8" s="17"/>
      <c r="I8" s="80" t="s">
        <v>173</v>
      </c>
      <c r="J8" s="81">
        <v>1</v>
      </c>
      <c r="K8" s="82" t="s">
        <v>14</v>
      </c>
      <c r="L8" s="12">
        <v>2.5</v>
      </c>
    </row>
    <row r="9" spans="1:17" ht="15.75" customHeight="1" x14ac:dyDescent="0.25">
      <c r="A9" s="17"/>
      <c r="B9" s="17"/>
      <c r="C9" s="17"/>
      <c r="D9" s="17"/>
      <c r="I9" s="80" t="s">
        <v>174</v>
      </c>
      <c r="J9" s="81">
        <v>1</v>
      </c>
      <c r="K9" s="82" t="s">
        <v>14</v>
      </c>
      <c r="L9" s="12">
        <v>2.5</v>
      </c>
    </row>
    <row r="10" spans="1:17" ht="15.75" customHeight="1" x14ac:dyDescent="0.25">
      <c r="A10" s="17"/>
      <c r="B10" s="17"/>
      <c r="C10" s="17"/>
      <c r="D10" s="17"/>
      <c r="I10" s="80" t="s">
        <v>175</v>
      </c>
      <c r="J10" s="81">
        <v>1</v>
      </c>
      <c r="K10" s="82" t="s">
        <v>18</v>
      </c>
      <c r="L10" s="12">
        <v>2.5</v>
      </c>
    </row>
    <row r="11" spans="1:17" ht="15.75" customHeight="1" x14ac:dyDescent="0.25">
      <c r="A11" s="17"/>
      <c r="B11" s="17"/>
      <c r="C11" s="17"/>
      <c r="D11" s="17"/>
      <c r="I11" s="80" t="s">
        <v>176</v>
      </c>
      <c r="J11" s="81">
        <v>1</v>
      </c>
      <c r="K11" s="82" t="s">
        <v>18</v>
      </c>
      <c r="L11" s="12">
        <v>2.5</v>
      </c>
    </row>
    <row r="12" spans="1:17" ht="15.75" customHeight="1" x14ac:dyDescent="0.25">
      <c r="A12" s="119" t="s">
        <v>32</v>
      </c>
      <c r="B12" s="120"/>
      <c r="C12" s="120"/>
      <c r="D12" s="120"/>
      <c r="E12" s="120"/>
      <c r="F12" s="120"/>
      <c r="G12" s="121"/>
      <c r="I12" s="84" t="s">
        <v>140</v>
      </c>
      <c r="J12" s="85">
        <v>1</v>
      </c>
      <c r="K12" s="86" t="s">
        <v>18</v>
      </c>
      <c r="L12" s="12">
        <v>2</v>
      </c>
    </row>
    <row r="13" spans="1:17" ht="15.75" customHeight="1" x14ac:dyDescent="0.25">
      <c r="A13" s="26" t="s">
        <v>34</v>
      </c>
      <c r="B13" s="26" t="s">
        <v>35</v>
      </c>
      <c r="C13" s="26" t="s">
        <v>36</v>
      </c>
      <c r="D13" s="26" t="s">
        <v>37</v>
      </c>
      <c r="E13" s="87" t="s">
        <v>38</v>
      </c>
      <c r="F13" s="87" t="s">
        <v>39</v>
      </c>
      <c r="G13" s="87" t="s">
        <v>40</v>
      </c>
      <c r="I13" s="80" t="s">
        <v>177</v>
      </c>
      <c r="J13" s="81">
        <v>1</v>
      </c>
      <c r="K13" s="82" t="s">
        <v>26</v>
      </c>
      <c r="L13" s="12">
        <v>2.5</v>
      </c>
    </row>
    <row r="14" spans="1:17" ht="15.75" customHeight="1" x14ac:dyDescent="0.25">
      <c r="A14" s="12" t="s">
        <v>42</v>
      </c>
      <c r="B14" s="12" t="s">
        <v>43</v>
      </c>
      <c r="C14" s="88" t="s">
        <v>44</v>
      </c>
      <c r="D14" s="88" t="s">
        <v>44</v>
      </c>
      <c r="E14" s="89" t="s">
        <v>45</v>
      </c>
      <c r="F14" s="7" t="s">
        <v>46</v>
      </c>
      <c r="G14" s="42" t="s">
        <v>47</v>
      </c>
      <c r="I14" s="80" t="s">
        <v>178</v>
      </c>
      <c r="J14" s="81">
        <v>1</v>
      </c>
      <c r="K14" s="82" t="s">
        <v>26</v>
      </c>
      <c r="L14" s="12">
        <v>2.5</v>
      </c>
    </row>
    <row r="15" spans="1:17" ht="15.75" customHeight="1" x14ac:dyDescent="0.25">
      <c r="A15" s="12" t="s">
        <v>49</v>
      </c>
      <c r="B15" s="12" t="s">
        <v>43</v>
      </c>
      <c r="C15" s="19" t="s">
        <v>44</v>
      </c>
      <c r="D15" s="19" t="s">
        <v>50</v>
      </c>
      <c r="E15" s="34" t="s">
        <v>51</v>
      </c>
      <c r="F15" s="7" t="s">
        <v>52</v>
      </c>
      <c r="G15" s="90" t="s">
        <v>53</v>
      </c>
      <c r="I15" s="91" t="s">
        <v>179</v>
      </c>
      <c r="J15" s="92">
        <v>1</v>
      </c>
      <c r="K15" s="93" t="s">
        <v>26</v>
      </c>
      <c r="L15" s="12">
        <v>2.5</v>
      </c>
    </row>
    <row r="16" spans="1:17" ht="15.75" customHeight="1" x14ac:dyDescent="0.25">
      <c r="A16" s="12" t="s">
        <v>55</v>
      </c>
      <c r="B16" s="12" t="s">
        <v>43</v>
      </c>
      <c r="C16" s="36" t="s">
        <v>44</v>
      </c>
      <c r="D16" s="36" t="s">
        <v>44</v>
      </c>
      <c r="E16" s="37" t="s">
        <v>56</v>
      </c>
      <c r="F16" s="38" t="s">
        <v>52</v>
      </c>
      <c r="G16" s="19" t="s">
        <v>57</v>
      </c>
      <c r="I16" s="94" t="s">
        <v>140</v>
      </c>
      <c r="J16" s="95">
        <v>1</v>
      </c>
      <c r="K16" s="96" t="s">
        <v>26</v>
      </c>
      <c r="L16" s="12">
        <v>2</v>
      </c>
    </row>
    <row r="17" spans="1:12" ht="15.75" customHeight="1" x14ac:dyDescent="0.25">
      <c r="A17" s="12" t="s">
        <v>59</v>
      </c>
      <c r="B17" s="33" t="s">
        <v>60</v>
      </c>
      <c r="C17" s="19" t="s">
        <v>44</v>
      </c>
      <c r="D17" s="19" t="s">
        <v>50</v>
      </c>
      <c r="E17" s="39" t="s">
        <v>61</v>
      </c>
      <c r="F17" s="19" t="s">
        <v>52</v>
      </c>
      <c r="G17" s="19" t="s">
        <v>62</v>
      </c>
      <c r="I17" s="94" t="s">
        <v>15</v>
      </c>
      <c r="J17" s="95">
        <v>1</v>
      </c>
      <c r="K17" s="96" t="s">
        <v>22</v>
      </c>
      <c r="L17" s="12">
        <v>2</v>
      </c>
    </row>
    <row r="18" spans="1:12" ht="15.75" customHeight="1" x14ac:dyDescent="0.25">
      <c r="A18" s="12" t="s">
        <v>64</v>
      </c>
      <c r="B18" s="12" t="s">
        <v>43</v>
      </c>
      <c r="C18" s="40" t="s">
        <v>50</v>
      </c>
      <c r="D18" s="36" t="s">
        <v>44</v>
      </c>
      <c r="E18" s="41" t="s">
        <v>65</v>
      </c>
      <c r="F18" s="42" t="s">
        <v>52</v>
      </c>
      <c r="G18" s="42" t="s">
        <v>66</v>
      </c>
      <c r="K18" s="97" t="s">
        <v>180</v>
      </c>
      <c r="L18" s="12">
        <f>SUM(L2:L17)</f>
        <v>41.5</v>
      </c>
    </row>
    <row r="19" spans="1:12" ht="15.75" customHeight="1" x14ac:dyDescent="0.25">
      <c r="A19" s="42"/>
      <c r="B19" s="42"/>
      <c r="C19" s="42"/>
      <c r="D19" s="42"/>
      <c r="E19" s="42"/>
      <c r="F19" s="42"/>
      <c r="G19" s="42"/>
    </row>
    <row r="20" spans="1:12" ht="15.75" customHeight="1" x14ac:dyDescent="0.25">
      <c r="A20" s="42"/>
      <c r="B20" s="42"/>
      <c r="C20" s="42"/>
      <c r="D20" s="42"/>
      <c r="E20" s="42"/>
      <c r="F20" s="42"/>
      <c r="G20" s="42"/>
    </row>
    <row r="21" spans="1:12" ht="15.75" customHeight="1" x14ac:dyDescent="0.25">
      <c r="A21" s="42"/>
      <c r="B21" s="42"/>
      <c r="C21" s="42"/>
      <c r="D21" s="42"/>
      <c r="E21" s="42"/>
      <c r="F21" s="42"/>
      <c r="G21" s="42"/>
    </row>
    <row r="22" spans="1:12" ht="15.75" customHeight="1" x14ac:dyDescent="0.25">
      <c r="A22" s="42"/>
      <c r="B22" s="42"/>
      <c r="C22" s="42"/>
      <c r="D22" s="42"/>
      <c r="E22" s="42"/>
      <c r="F22" s="42"/>
      <c r="G22" s="42"/>
    </row>
    <row r="23" spans="1:12" ht="15.75" customHeight="1" x14ac:dyDescent="0.25">
      <c r="A23" s="42"/>
      <c r="B23" s="42"/>
      <c r="C23" s="42"/>
      <c r="D23" s="42"/>
      <c r="E23" s="42"/>
      <c r="F23" s="42"/>
      <c r="G23" s="42"/>
    </row>
    <row r="24" spans="1:12" ht="15.75" customHeight="1" x14ac:dyDescent="0.25">
      <c r="A24" s="42"/>
      <c r="B24" s="42"/>
      <c r="C24" s="42"/>
      <c r="D24" s="42"/>
      <c r="E24" s="42"/>
      <c r="F24" s="42"/>
      <c r="G24" s="42"/>
    </row>
    <row r="25" spans="1:12" ht="15.75" customHeight="1" x14ac:dyDescent="0.25">
      <c r="A25" s="42"/>
      <c r="B25" s="42"/>
      <c r="C25" s="42"/>
      <c r="D25" s="42"/>
      <c r="E25" s="42"/>
      <c r="F25" s="42"/>
      <c r="G25" s="42"/>
    </row>
    <row r="26" spans="1:12" ht="15.75" customHeight="1" x14ac:dyDescent="0.25">
      <c r="A26" s="17"/>
      <c r="B26" s="17"/>
      <c r="C26" s="17"/>
      <c r="D26" s="17"/>
    </row>
    <row r="27" spans="1:12" ht="15.75" customHeight="1" x14ac:dyDescent="0.25">
      <c r="A27" s="17"/>
      <c r="B27" s="17"/>
      <c r="C27" s="17"/>
      <c r="D27" s="17"/>
    </row>
    <row r="28" spans="1:12" ht="15.75" customHeight="1" x14ac:dyDescent="0.25">
      <c r="A28" s="119" t="s">
        <v>77</v>
      </c>
      <c r="B28" s="120"/>
      <c r="C28" s="120"/>
      <c r="D28" s="120"/>
      <c r="E28" s="120"/>
      <c r="F28" s="120"/>
      <c r="G28" s="121"/>
    </row>
    <row r="29" spans="1:12" ht="15.75" customHeight="1" x14ac:dyDescent="0.25">
      <c r="A29" s="26" t="s">
        <v>34</v>
      </c>
      <c r="B29" s="26" t="s">
        <v>79</v>
      </c>
      <c r="C29" s="26" t="s">
        <v>36</v>
      </c>
      <c r="D29" s="26" t="s">
        <v>37</v>
      </c>
      <c r="E29" s="87" t="s">
        <v>38</v>
      </c>
      <c r="F29" s="87" t="s">
        <v>39</v>
      </c>
      <c r="G29" s="87" t="s">
        <v>40</v>
      </c>
    </row>
    <row r="30" spans="1:12" ht="15.75" customHeight="1" x14ac:dyDescent="0.25">
      <c r="A30" s="19" t="s">
        <v>81</v>
      </c>
      <c r="B30" s="58" t="s">
        <v>82</v>
      </c>
      <c r="C30" s="12" t="s">
        <v>12</v>
      </c>
      <c r="D30" s="19" t="s">
        <v>44</v>
      </c>
      <c r="E30" s="59" t="s">
        <v>83</v>
      </c>
      <c r="F30" s="38" t="s">
        <v>46</v>
      </c>
      <c r="G30" s="98"/>
    </row>
    <row r="31" spans="1:12" ht="15.75" customHeight="1" x14ac:dyDescent="0.25">
      <c r="A31" s="19" t="s">
        <v>85</v>
      </c>
      <c r="B31" s="58" t="s">
        <v>82</v>
      </c>
      <c r="C31" s="12" t="s">
        <v>12</v>
      </c>
      <c r="D31" s="19" t="s">
        <v>44</v>
      </c>
      <c r="E31" s="59" t="s">
        <v>86</v>
      </c>
      <c r="F31" s="60" t="s">
        <v>52</v>
      </c>
      <c r="G31" s="12" t="s">
        <v>87</v>
      </c>
    </row>
    <row r="32" spans="1:12" ht="15.75" customHeight="1" x14ac:dyDescent="0.25">
      <c r="A32" s="19" t="s">
        <v>89</v>
      </c>
      <c r="B32" s="58" t="s">
        <v>82</v>
      </c>
      <c r="C32" s="62" t="s">
        <v>12</v>
      </c>
      <c r="D32" s="63" t="s">
        <v>50</v>
      </c>
      <c r="E32" s="64" t="s">
        <v>90</v>
      </c>
      <c r="F32" s="38" t="s">
        <v>52</v>
      </c>
      <c r="G32" s="54" t="s">
        <v>91</v>
      </c>
    </row>
    <row r="33" spans="1:7" ht="28.5" customHeight="1" x14ac:dyDescent="0.25">
      <c r="A33" s="19" t="s">
        <v>93</v>
      </c>
      <c r="B33" s="58" t="s">
        <v>82</v>
      </c>
      <c r="C33" s="62" t="s">
        <v>12</v>
      </c>
      <c r="D33" s="63" t="s">
        <v>44</v>
      </c>
      <c r="E33" s="66" t="s">
        <v>65</v>
      </c>
      <c r="F33" s="38" t="s">
        <v>52</v>
      </c>
      <c r="G33" s="19" t="s">
        <v>66</v>
      </c>
    </row>
    <row r="34" spans="1:7" ht="15.75" customHeight="1" x14ac:dyDescent="0.25">
      <c r="A34" s="42"/>
      <c r="B34" s="42"/>
      <c r="C34" s="33"/>
      <c r="D34" s="33"/>
      <c r="E34" s="33"/>
      <c r="F34" s="42"/>
      <c r="G34" s="42"/>
    </row>
    <row r="35" spans="1:7" ht="15.75" customHeight="1" x14ac:dyDescent="0.25">
      <c r="A35" s="42"/>
      <c r="B35" s="42"/>
      <c r="C35" s="42"/>
      <c r="D35" s="42"/>
      <c r="E35" s="42"/>
      <c r="F35" s="42"/>
      <c r="G35" s="42"/>
    </row>
    <row r="36" spans="1:7" ht="15.75" customHeight="1" x14ac:dyDescent="0.25">
      <c r="A36" s="42"/>
      <c r="B36" s="42"/>
      <c r="C36" s="42"/>
      <c r="D36" s="42"/>
      <c r="E36" s="42"/>
      <c r="F36" s="42"/>
      <c r="G36" s="42"/>
    </row>
    <row r="37" spans="1:7" ht="15.75" customHeight="1" x14ac:dyDescent="0.25">
      <c r="A37" s="42"/>
      <c r="B37" s="42"/>
      <c r="C37" s="42"/>
      <c r="D37" s="42"/>
      <c r="E37" s="42"/>
      <c r="F37" s="42"/>
      <c r="G37" s="42"/>
    </row>
    <row r="38" spans="1:7" ht="15.75" customHeight="1" x14ac:dyDescent="0.25">
      <c r="A38" s="42"/>
      <c r="B38" s="42"/>
      <c r="C38" s="42"/>
      <c r="D38" s="42"/>
      <c r="E38" s="42"/>
      <c r="F38" s="42"/>
      <c r="G38" s="42"/>
    </row>
    <row r="39" spans="1:7" ht="15.75" customHeight="1" x14ac:dyDescent="0.25">
      <c r="A39" s="42"/>
      <c r="B39" s="42"/>
      <c r="C39" s="42"/>
      <c r="D39" s="42"/>
      <c r="E39" s="42"/>
      <c r="F39" s="42"/>
      <c r="G39" s="42"/>
    </row>
    <row r="40" spans="1:7" ht="15.75" customHeight="1" x14ac:dyDescent="0.25">
      <c r="A40" s="42"/>
      <c r="B40" s="42"/>
      <c r="C40" s="42"/>
      <c r="D40" s="42"/>
      <c r="E40" s="42"/>
      <c r="F40" s="42"/>
      <c r="G40" s="42"/>
    </row>
    <row r="41" spans="1:7" ht="15.75" customHeight="1" x14ac:dyDescent="0.25">
      <c r="A41" s="17"/>
      <c r="B41" s="17"/>
      <c r="C41" s="17"/>
      <c r="D41" s="17"/>
    </row>
    <row r="42" spans="1:7" ht="15.75" customHeight="1" x14ac:dyDescent="0.25">
      <c r="A42" s="17"/>
      <c r="B42" s="17"/>
      <c r="C42" s="17"/>
      <c r="D42" s="17"/>
    </row>
    <row r="43" spans="1:7" ht="15.75" customHeight="1" x14ac:dyDescent="0.25">
      <c r="A43" s="17"/>
      <c r="B43" s="17"/>
      <c r="C43" s="17"/>
      <c r="D43" s="17"/>
    </row>
    <row r="44" spans="1:7" ht="15.75" customHeight="1" x14ac:dyDescent="0.25">
      <c r="A44" s="17"/>
      <c r="B44" s="17"/>
      <c r="C44" s="17"/>
      <c r="D44" s="17"/>
    </row>
    <row r="45" spans="1:7" ht="15.75" customHeight="1" x14ac:dyDescent="0.25">
      <c r="A45" s="17"/>
      <c r="B45" s="17"/>
      <c r="C45" s="17"/>
      <c r="D45" s="17"/>
    </row>
    <row r="46" spans="1:7" ht="15.75" customHeight="1" x14ac:dyDescent="0.25">
      <c r="A46" s="17"/>
      <c r="B46" s="17"/>
      <c r="C46" s="17"/>
      <c r="D46" s="17"/>
    </row>
    <row r="47" spans="1:7" ht="15.75" customHeight="1" x14ac:dyDescent="0.25">
      <c r="A47" s="17"/>
      <c r="B47" s="17"/>
      <c r="C47" s="17"/>
      <c r="D47" s="17"/>
    </row>
    <row r="48" spans="1:7" ht="15.75" customHeight="1" x14ac:dyDescent="0.25">
      <c r="A48" s="17"/>
      <c r="B48" s="17"/>
      <c r="C48" s="17"/>
      <c r="D48" s="17"/>
    </row>
    <row r="49" spans="1:4" ht="15.75" customHeight="1" x14ac:dyDescent="0.25">
      <c r="A49" s="17"/>
      <c r="B49" s="17"/>
      <c r="C49" s="17"/>
      <c r="D49" s="17"/>
    </row>
    <row r="50" spans="1:4" ht="15.75" customHeight="1" x14ac:dyDescent="0.25">
      <c r="A50" s="17"/>
      <c r="B50" s="17"/>
      <c r="C50" s="17"/>
      <c r="D50" s="17"/>
    </row>
    <row r="51" spans="1:4" ht="15.75" customHeight="1" x14ac:dyDescent="0.25">
      <c r="A51" s="17"/>
      <c r="B51" s="17"/>
      <c r="C51" s="17"/>
      <c r="D51" s="17"/>
    </row>
    <row r="52" spans="1:4" ht="15.75" customHeight="1" x14ac:dyDescent="0.25">
      <c r="A52" s="17"/>
      <c r="B52" s="17"/>
      <c r="C52" s="17"/>
      <c r="D52" s="17"/>
    </row>
    <row r="53" spans="1:4" ht="15.75" customHeight="1" x14ac:dyDescent="0.25">
      <c r="A53" s="17"/>
      <c r="B53" s="17"/>
      <c r="C53" s="17"/>
      <c r="D53" s="17"/>
    </row>
    <row r="54" spans="1:4" ht="15.75" customHeight="1" x14ac:dyDescent="0.25">
      <c r="A54" s="17"/>
      <c r="B54" s="17"/>
      <c r="C54" s="17"/>
      <c r="D54" s="17"/>
    </row>
    <row r="55" spans="1:4" ht="15.75" customHeight="1" x14ac:dyDescent="0.25">
      <c r="A55" s="17"/>
      <c r="B55" s="17"/>
      <c r="C55" s="17"/>
      <c r="D55" s="17"/>
    </row>
    <row r="56" spans="1:4" ht="15.75" customHeight="1" x14ac:dyDescent="0.25">
      <c r="A56" s="17"/>
      <c r="B56" s="17"/>
      <c r="C56" s="17"/>
      <c r="D56" s="17"/>
    </row>
    <row r="57" spans="1:4" ht="15.75" customHeight="1" x14ac:dyDescent="0.25">
      <c r="A57" s="17"/>
      <c r="B57" s="17"/>
      <c r="C57" s="17"/>
      <c r="D57" s="17"/>
    </row>
    <row r="58" spans="1:4" ht="15.75" customHeight="1" x14ac:dyDescent="0.25">
      <c r="A58" s="17"/>
      <c r="B58" s="17"/>
      <c r="C58" s="17"/>
      <c r="D58" s="17"/>
    </row>
    <row r="59" spans="1:4" ht="15.75" customHeight="1" x14ac:dyDescent="0.25">
      <c r="A59" s="17"/>
      <c r="B59" s="17"/>
      <c r="C59" s="17"/>
      <c r="D59" s="17"/>
    </row>
    <row r="60" spans="1:4" ht="15.75" customHeight="1" x14ac:dyDescent="0.25">
      <c r="A60" s="17"/>
      <c r="B60" s="17"/>
      <c r="C60" s="17"/>
      <c r="D60" s="17"/>
    </row>
    <row r="61" spans="1:4" ht="15.75" customHeight="1" x14ac:dyDescent="0.25">
      <c r="A61" s="17"/>
      <c r="B61" s="17"/>
      <c r="C61" s="17"/>
      <c r="D61" s="17"/>
    </row>
    <row r="62" spans="1:4" ht="15.75" customHeight="1" x14ac:dyDescent="0.25">
      <c r="A62" s="17"/>
      <c r="B62" s="17"/>
      <c r="C62" s="17"/>
      <c r="D62" s="17"/>
    </row>
    <row r="63" spans="1:4" ht="15.75" customHeight="1" x14ac:dyDescent="0.25">
      <c r="A63" s="17"/>
      <c r="B63" s="17"/>
      <c r="C63" s="17"/>
      <c r="D63" s="17"/>
    </row>
    <row r="64" spans="1:4" ht="15.75" customHeight="1" x14ac:dyDescent="0.25">
      <c r="A64" s="17"/>
      <c r="B64" s="17"/>
      <c r="C64" s="17"/>
      <c r="D64" s="17"/>
    </row>
    <row r="65" spans="1:4" ht="15.75" customHeight="1" x14ac:dyDescent="0.25">
      <c r="A65" s="17"/>
      <c r="B65" s="17"/>
      <c r="C65" s="17"/>
      <c r="D65" s="17"/>
    </row>
    <row r="66" spans="1:4" ht="15.75" customHeight="1" x14ac:dyDescent="0.25">
      <c r="A66" s="17"/>
      <c r="B66" s="17"/>
      <c r="C66" s="17"/>
      <c r="D66" s="17"/>
    </row>
    <row r="67" spans="1:4" ht="15.75" customHeight="1" x14ac:dyDescent="0.25">
      <c r="A67" s="17"/>
      <c r="B67" s="17"/>
      <c r="C67" s="17"/>
      <c r="D67" s="17"/>
    </row>
    <row r="68" spans="1:4" ht="15.75" customHeight="1" x14ac:dyDescent="0.25">
      <c r="A68" s="17"/>
      <c r="B68" s="17"/>
      <c r="C68" s="17"/>
      <c r="D68" s="17"/>
    </row>
    <row r="69" spans="1:4" ht="15.75" customHeight="1" x14ac:dyDescent="0.25">
      <c r="A69" s="17"/>
      <c r="B69" s="17"/>
      <c r="C69" s="17"/>
      <c r="D69" s="17"/>
    </row>
    <row r="70" spans="1:4" ht="15.75" customHeight="1" x14ac:dyDescent="0.25">
      <c r="A70" s="17"/>
      <c r="B70" s="17"/>
      <c r="C70" s="17"/>
      <c r="D70" s="17"/>
    </row>
    <row r="71" spans="1:4" ht="15.75" customHeight="1" x14ac:dyDescent="0.25">
      <c r="A71" s="17"/>
      <c r="B71" s="17"/>
      <c r="C71" s="17"/>
      <c r="D71" s="17"/>
    </row>
    <row r="72" spans="1:4" ht="15.75" customHeight="1" x14ac:dyDescent="0.25">
      <c r="A72" s="17"/>
      <c r="B72" s="17"/>
      <c r="C72" s="17"/>
      <c r="D72" s="17"/>
    </row>
    <row r="73" spans="1:4" ht="15.75" customHeight="1" x14ac:dyDescent="0.25">
      <c r="A73" s="17"/>
      <c r="B73" s="17"/>
      <c r="C73" s="17"/>
      <c r="D73" s="17"/>
    </row>
    <row r="74" spans="1:4" ht="15.75" customHeight="1" x14ac:dyDescent="0.25">
      <c r="A74" s="17"/>
      <c r="B74" s="17"/>
      <c r="C74" s="17"/>
      <c r="D74" s="17"/>
    </row>
    <row r="75" spans="1:4" ht="15.75" customHeight="1" x14ac:dyDescent="0.25">
      <c r="A75" s="17"/>
      <c r="B75" s="17"/>
      <c r="C75" s="17"/>
      <c r="D75" s="17"/>
    </row>
    <row r="76" spans="1:4" ht="15.75" customHeight="1" x14ac:dyDescent="0.25">
      <c r="A76" s="17"/>
      <c r="B76" s="17"/>
      <c r="C76" s="17"/>
      <c r="D76" s="17"/>
    </row>
    <row r="77" spans="1:4" ht="15.75" customHeight="1" x14ac:dyDescent="0.25">
      <c r="A77" s="17"/>
      <c r="B77" s="17"/>
      <c r="C77" s="17"/>
      <c r="D77" s="17"/>
    </row>
    <row r="78" spans="1:4" ht="15.75" customHeight="1" x14ac:dyDescent="0.25">
      <c r="A78" s="17"/>
      <c r="B78" s="17"/>
      <c r="C78" s="17"/>
      <c r="D78" s="17"/>
    </row>
    <row r="79" spans="1:4" ht="15.75" customHeight="1" x14ac:dyDescent="0.25">
      <c r="A79" s="17"/>
      <c r="B79" s="17"/>
      <c r="C79" s="17"/>
      <c r="D79" s="17"/>
    </row>
    <row r="80" spans="1:4" ht="15.75" customHeight="1" x14ac:dyDescent="0.25">
      <c r="A80" s="17"/>
      <c r="B80" s="17"/>
      <c r="C80" s="17"/>
      <c r="D80" s="17"/>
    </row>
    <row r="81" spans="1:4" ht="15.75" customHeight="1" x14ac:dyDescent="0.25">
      <c r="A81" s="17"/>
      <c r="B81" s="17"/>
      <c r="C81" s="17"/>
      <c r="D81" s="17"/>
    </row>
    <row r="82" spans="1:4" ht="15.75" customHeight="1" x14ac:dyDescent="0.25">
      <c r="A82" s="17"/>
      <c r="B82" s="17"/>
      <c r="C82" s="17"/>
      <c r="D82" s="17"/>
    </row>
    <row r="83" spans="1:4" ht="15.75" customHeight="1" x14ac:dyDescent="0.25">
      <c r="A83" s="17"/>
      <c r="B83" s="17"/>
      <c r="C83" s="17"/>
      <c r="D83" s="17"/>
    </row>
    <row r="84" spans="1:4" ht="15.75" customHeight="1" x14ac:dyDescent="0.25">
      <c r="A84" s="17"/>
      <c r="B84" s="17"/>
      <c r="C84" s="17"/>
      <c r="D84" s="17"/>
    </row>
    <row r="85" spans="1:4" ht="15.75" customHeight="1" x14ac:dyDescent="0.25">
      <c r="A85" s="17"/>
      <c r="B85" s="17"/>
      <c r="C85" s="17"/>
      <c r="D85" s="17"/>
    </row>
    <row r="86" spans="1:4" ht="15.75" customHeight="1" x14ac:dyDescent="0.25">
      <c r="A86" s="17"/>
      <c r="B86" s="17"/>
      <c r="C86" s="17"/>
      <c r="D86" s="17"/>
    </row>
    <row r="87" spans="1:4" ht="15.75" customHeight="1" x14ac:dyDescent="0.25">
      <c r="A87" s="17"/>
      <c r="B87" s="17"/>
      <c r="C87" s="17"/>
      <c r="D87" s="17"/>
    </row>
    <row r="88" spans="1:4" ht="15.75" customHeight="1" x14ac:dyDescent="0.25">
      <c r="A88" s="17"/>
      <c r="B88" s="17"/>
      <c r="C88" s="17"/>
      <c r="D88" s="17"/>
    </row>
    <row r="89" spans="1:4" ht="15.75" customHeight="1" x14ac:dyDescent="0.25">
      <c r="A89" s="17"/>
      <c r="B89" s="17"/>
      <c r="C89" s="17"/>
      <c r="D89" s="17"/>
    </row>
    <row r="90" spans="1:4" ht="15.75" customHeight="1" x14ac:dyDescent="0.25">
      <c r="A90" s="17"/>
      <c r="B90" s="17"/>
      <c r="C90" s="17"/>
      <c r="D90" s="17"/>
    </row>
    <row r="91" spans="1:4" ht="15.75" customHeight="1" x14ac:dyDescent="0.25">
      <c r="A91" s="17"/>
      <c r="B91" s="17"/>
      <c r="C91" s="17"/>
      <c r="D91" s="17"/>
    </row>
    <row r="92" spans="1:4" ht="15.75" customHeight="1" x14ac:dyDescent="0.25">
      <c r="A92" s="17"/>
      <c r="B92" s="17"/>
      <c r="C92" s="17"/>
      <c r="D92" s="17"/>
    </row>
    <row r="93" spans="1:4" ht="15.75" customHeight="1" x14ac:dyDescent="0.25">
      <c r="A93" s="17"/>
      <c r="B93" s="17"/>
      <c r="C93" s="17"/>
      <c r="D93" s="17"/>
    </row>
    <row r="94" spans="1:4" ht="15.75" customHeight="1" x14ac:dyDescent="0.25">
      <c r="A94" s="17"/>
      <c r="B94" s="17"/>
      <c r="C94" s="17"/>
      <c r="D94" s="17"/>
    </row>
    <row r="95" spans="1:4" ht="15.75" customHeight="1" x14ac:dyDescent="0.25">
      <c r="A95" s="17"/>
      <c r="B95" s="17"/>
      <c r="C95" s="17"/>
      <c r="D95" s="17"/>
    </row>
    <row r="96" spans="1:4" ht="15.75" customHeight="1" x14ac:dyDescent="0.25">
      <c r="A96" s="17"/>
      <c r="B96" s="17"/>
      <c r="C96" s="17"/>
      <c r="D96" s="17"/>
    </row>
    <row r="97" spans="1:4" ht="15.75" customHeight="1" x14ac:dyDescent="0.25">
      <c r="A97" s="17"/>
      <c r="B97" s="17"/>
      <c r="C97" s="17"/>
      <c r="D97" s="17"/>
    </row>
    <row r="98" spans="1:4" ht="15.75" customHeight="1" x14ac:dyDescent="0.25">
      <c r="A98" s="17"/>
      <c r="B98" s="17"/>
      <c r="C98" s="17"/>
      <c r="D98" s="17"/>
    </row>
    <row r="99" spans="1:4" ht="15.75" customHeight="1" x14ac:dyDescent="0.25">
      <c r="A99" s="17"/>
      <c r="B99" s="17"/>
      <c r="C99" s="17"/>
      <c r="D99" s="17"/>
    </row>
    <row r="100" spans="1:4" ht="15.75" customHeight="1" x14ac:dyDescent="0.25">
      <c r="A100" s="17"/>
      <c r="B100" s="17"/>
      <c r="C100" s="17"/>
      <c r="D100" s="17"/>
    </row>
    <row r="101" spans="1:4" ht="15.75" customHeight="1" x14ac:dyDescent="0.25">
      <c r="A101" s="17"/>
      <c r="B101" s="17"/>
      <c r="C101" s="17"/>
      <c r="D101" s="17"/>
    </row>
    <row r="102" spans="1:4" ht="15.75" customHeight="1" x14ac:dyDescent="0.25">
      <c r="A102" s="17"/>
      <c r="B102" s="17"/>
      <c r="C102" s="17"/>
      <c r="D102" s="17"/>
    </row>
    <row r="103" spans="1:4" ht="15.75" customHeight="1" x14ac:dyDescent="0.25">
      <c r="A103" s="17"/>
      <c r="B103" s="17"/>
      <c r="C103" s="17"/>
      <c r="D103" s="17"/>
    </row>
    <row r="104" spans="1:4" ht="15.75" customHeight="1" x14ac:dyDescent="0.25">
      <c r="A104" s="17"/>
      <c r="B104" s="17"/>
      <c r="C104" s="17"/>
      <c r="D104" s="17"/>
    </row>
    <row r="105" spans="1:4" ht="15.75" customHeight="1" x14ac:dyDescent="0.25">
      <c r="A105" s="17"/>
      <c r="B105" s="17"/>
      <c r="C105" s="17"/>
      <c r="D105" s="17"/>
    </row>
    <row r="106" spans="1:4" ht="15.75" customHeight="1" x14ac:dyDescent="0.25">
      <c r="A106" s="17"/>
      <c r="B106" s="17"/>
      <c r="C106" s="17"/>
      <c r="D106" s="17"/>
    </row>
    <row r="107" spans="1:4" ht="15.75" customHeight="1" x14ac:dyDescent="0.25">
      <c r="A107" s="17"/>
      <c r="B107" s="17"/>
      <c r="C107" s="17"/>
      <c r="D107" s="17"/>
    </row>
    <row r="108" spans="1:4" ht="15.75" customHeight="1" x14ac:dyDescent="0.25">
      <c r="A108" s="17"/>
      <c r="B108" s="17"/>
      <c r="C108" s="17"/>
      <c r="D108" s="17"/>
    </row>
    <row r="109" spans="1:4" ht="15.75" customHeight="1" x14ac:dyDescent="0.25">
      <c r="A109" s="17"/>
      <c r="B109" s="17"/>
      <c r="C109" s="17"/>
      <c r="D109" s="17"/>
    </row>
    <row r="110" spans="1:4" ht="15.75" customHeight="1" x14ac:dyDescent="0.25">
      <c r="A110" s="17"/>
      <c r="B110" s="17"/>
      <c r="C110" s="17"/>
      <c r="D110" s="17"/>
    </row>
    <row r="111" spans="1:4" ht="15.75" customHeight="1" x14ac:dyDescent="0.25">
      <c r="A111" s="17"/>
      <c r="B111" s="17"/>
      <c r="C111" s="17"/>
      <c r="D111" s="17"/>
    </row>
    <row r="112" spans="1:4" ht="15.75" customHeight="1" x14ac:dyDescent="0.25">
      <c r="A112" s="17"/>
      <c r="B112" s="17"/>
      <c r="C112" s="17"/>
      <c r="D112" s="17"/>
    </row>
    <row r="113" spans="1:4" ht="15.75" customHeight="1" x14ac:dyDescent="0.25">
      <c r="A113" s="17"/>
      <c r="B113" s="17"/>
      <c r="C113" s="17"/>
      <c r="D113" s="17"/>
    </row>
    <row r="114" spans="1:4" ht="15.75" customHeight="1" x14ac:dyDescent="0.25">
      <c r="A114" s="17"/>
      <c r="B114" s="17"/>
      <c r="C114" s="17"/>
      <c r="D114" s="17"/>
    </row>
    <row r="115" spans="1:4" ht="15.75" customHeight="1" x14ac:dyDescent="0.25">
      <c r="A115" s="17"/>
      <c r="B115" s="17"/>
      <c r="C115" s="17"/>
      <c r="D115" s="17"/>
    </row>
    <row r="116" spans="1:4" ht="15.75" customHeight="1" x14ac:dyDescent="0.25">
      <c r="A116" s="17"/>
      <c r="B116" s="17"/>
      <c r="C116" s="17"/>
      <c r="D116" s="17"/>
    </row>
    <row r="117" spans="1:4" ht="15.75" customHeight="1" x14ac:dyDescent="0.25">
      <c r="A117" s="17"/>
      <c r="B117" s="17"/>
      <c r="C117" s="17"/>
      <c r="D117" s="17"/>
    </row>
    <row r="118" spans="1:4" ht="15.75" customHeight="1" x14ac:dyDescent="0.25">
      <c r="A118" s="17"/>
      <c r="B118" s="17"/>
      <c r="C118" s="17"/>
      <c r="D118" s="17"/>
    </row>
    <row r="119" spans="1:4" ht="15.75" customHeight="1" x14ac:dyDescent="0.25">
      <c r="A119" s="17"/>
      <c r="B119" s="17"/>
      <c r="C119" s="17"/>
      <c r="D119" s="17"/>
    </row>
    <row r="120" spans="1:4" ht="15.75" customHeight="1" x14ac:dyDescent="0.25">
      <c r="A120" s="17"/>
      <c r="B120" s="17"/>
      <c r="C120" s="17"/>
      <c r="D120" s="17"/>
    </row>
    <row r="121" spans="1:4" ht="15.75" customHeight="1" x14ac:dyDescent="0.25">
      <c r="A121" s="17"/>
      <c r="B121" s="17"/>
      <c r="C121" s="17"/>
      <c r="D121" s="17"/>
    </row>
    <row r="122" spans="1:4" ht="15.75" customHeight="1" x14ac:dyDescent="0.25">
      <c r="A122" s="17"/>
      <c r="B122" s="17"/>
      <c r="C122" s="17"/>
      <c r="D122" s="17"/>
    </row>
    <row r="123" spans="1:4" ht="15.75" customHeight="1" x14ac:dyDescent="0.25">
      <c r="A123" s="17"/>
      <c r="B123" s="17"/>
      <c r="C123" s="17"/>
      <c r="D123" s="17"/>
    </row>
    <row r="124" spans="1:4" ht="15.75" customHeight="1" x14ac:dyDescent="0.25">
      <c r="A124" s="17"/>
      <c r="B124" s="17"/>
      <c r="C124" s="17"/>
      <c r="D124" s="17"/>
    </row>
    <row r="125" spans="1:4" ht="15.75" customHeight="1" x14ac:dyDescent="0.25">
      <c r="A125" s="17"/>
      <c r="B125" s="17"/>
      <c r="C125" s="17"/>
      <c r="D125" s="17"/>
    </row>
    <row r="126" spans="1:4" ht="15.75" customHeight="1" x14ac:dyDescent="0.25">
      <c r="A126" s="17"/>
      <c r="B126" s="17"/>
      <c r="C126" s="17"/>
      <c r="D126" s="17"/>
    </row>
    <row r="127" spans="1:4" ht="15.75" customHeight="1" x14ac:dyDescent="0.25">
      <c r="A127" s="17"/>
      <c r="B127" s="17"/>
      <c r="C127" s="17"/>
      <c r="D127" s="17"/>
    </row>
    <row r="128" spans="1:4" ht="15.75" customHeight="1" x14ac:dyDescent="0.25">
      <c r="A128" s="17"/>
      <c r="B128" s="17"/>
      <c r="C128" s="17"/>
      <c r="D128" s="17"/>
    </row>
    <row r="129" spans="1:4" ht="15.75" customHeight="1" x14ac:dyDescent="0.25">
      <c r="A129" s="17"/>
      <c r="B129" s="17"/>
      <c r="C129" s="17"/>
      <c r="D129" s="17"/>
    </row>
    <row r="130" spans="1:4" ht="15.75" customHeight="1" x14ac:dyDescent="0.25">
      <c r="A130" s="17"/>
      <c r="B130" s="17"/>
      <c r="C130" s="17"/>
      <c r="D130" s="17"/>
    </row>
    <row r="131" spans="1:4" ht="15.75" customHeight="1" x14ac:dyDescent="0.25">
      <c r="A131" s="17"/>
      <c r="B131" s="17"/>
      <c r="C131" s="17"/>
      <c r="D131" s="17"/>
    </row>
    <row r="132" spans="1:4" ht="15.75" customHeight="1" x14ac:dyDescent="0.25">
      <c r="A132" s="17"/>
      <c r="B132" s="17"/>
      <c r="C132" s="17"/>
      <c r="D132" s="17"/>
    </row>
    <row r="133" spans="1:4" ht="15.75" customHeight="1" x14ac:dyDescent="0.25">
      <c r="A133" s="17"/>
      <c r="B133" s="17"/>
      <c r="C133" s="17"/>
      <c r="D133" s="17"/>
    </row>
    <row r="134" spans="1:4" ht="15.75" customHeight="1" x14ac:dyDescent="0.25">
      <c r="A134" s="17"/>
      <c r="B134" s="17"/>
      <c r="C134" s="17"/>
      <c r="D134" s="17"/>
    </row>
    <row r="135" spans="1:4" ht="15.75" customHeight="1" x14ac:dyDescent="0.25">
      <c r="A135" s="17"/>
      <c r="B135" s="17"/>
      <c r="C135" s="17"/>
      <c r="D135" s="17"/>
    </row>
    <row r="136" spans="1:4" ht="15.75" customHeight="1" x14ac:dyDescent="0.25">
      <c r="A136" s="17"/>
      <c r="B136" s="17"/>
      <c r="C136" s="17"/>
      <c r="D136" s="17"/>
    </row>
    <row r="137" spans="1:4" ht="15.75" customHeight="1" x14ac:dyDescent="0.25">
      <c r="A137" s="17"/>
      <c r="B137" s="17"/>
      <c r="C137" s="17"/>
      <c r="D137" s="17"/>
    </row>
    <row r="138" spans="1:4" ht="15.75" customHeight="1" x14ac:dyDescent="0.25">
      <c r="A138" s="17"/>
      <c r="B138" s="17"/>
      <c r="C138" s="17"/>
      <c r="D138" s="17"/>
    </row>
    <row r="139" spans="1:4" ht="15.75" customHeight="1" x14ac:dyDescent="0.25">
      <c r="A139" s="17"/>
      <c r="B139" s="17"/>
      <c r="C139" s="17"/>
      <c r="D139" s="17"/>
    </row>
    <row r="140" spans="1:4" ht="15.75" customHeight="1" x14ac:dyDescent="0.25">
      <c r="A140" s="17"/>
      <c r="B140" s="17"/>
      <c r="C140" s="17"/>
      <c r="D140" s="17"/>
    </row>
    <row r="141" spans="1:4" ht="15.75" customHeight="1" x14ac:dyDescent="0.25">
      <c r="A141" s="17"/>
      <c r="B141" s="17"/>
      <c r="C141" s="17"/>
      <c r="D141" s="17"/>
    </row>
    <row r="142" spans="1:4" ht="15.75" customHeight="1" x14ac:dyDescent="0.25">
      <c r="A142" s="17"/>
      <c r="B142" s="17"/>
      <c r="C142" s="17"/>
      <c r="D142" s="17"/>
    </row>
    <row r="143" spans="1:4" ht="15.75" customHeight="1" x14ac:dyDescent="0.25">
      <c r="A143" s="17"/>
      <c r="B143" s="17"/>
      <c r="C143" s="17"/>
      <c r="D143" s="17"/>
    </row>
    <row r="144" spans="1:4" ht="15.75" customHeight="1" x14ac:dyDescent="0.25">
      <c r="A144" s="17"/>
      <c r="B144" s="17"/>
      <c r="C144" s="17"/>
      <c r="D144" s="17"/>
    </row>
    <row r="145" spans="1:4" ht="15.75" customHeight="1" x14ac:dyDescent="0.25">
      <c r="A145" s="17"/>
      <c r="B145" s="17"/>
      <c r="C145" s="17"/>
      <c r="D145" s="17"/>
    </row>
    <row r="146" spans="1:4" ht="15.75" customHeight="1" x14ac:dyDescent="0.25">
      <c r="A146" s="17"/>
      <c r="B146" s="17"/>
      <c r="C146" s="17"/>
      <c r="D146" s="17"/>
    </row>
    <row r="147" spans="1:4" ht="15.75" customHeight="1" x14ac:dyDescent="0.25">
      <c r="A147" s="17"/>
      <c r="B147" s="17"/>
      <c r="C147" s="17"/>
      <c r="D147" s="17"/>
    </row>
    <row r="148" spans="1:4" ht="15.75" customHeight="1" x14ac:dyDescent="0.25">
      <c r="A148" s="17"/>
      <c r="B148" s="17"/>
      <c r="C148" s="17"/>
      <c r="D148" s="17"/>
    </row>
    <row r="149" spans="1:4" ht="15.75" customHeight="1" x14ac:dyDescent="0.25">
      <c r="A149" s="17"/>
      <c r="B149" s="17"/>
      <c r="C149" s="17"/>
      <c r="D149" s="17"/>
    </row>
    <row r="150" spans="1:4" ht="15.75" customHeight="1" x14ac:dyDescent="0.25">
      <c r="A150" s="17"/>
      <c r="B150" s="17"/>
      <c r="C150" s="17"/>
      <c r="D150" s="17"/>
    </row>
    <row r="151" spans="1:4" ht="15.75" customHeight="1" x14ac:dyDescent="0.25">
      <c r="A151" s="17"/>
      <c r="B151" s="17"/>
      <c r="C151" s="17"/>
      <c r="D151" s="17"/>
    </row>
    <row r="152" spans="1:4" ht="15.75" customHeight="1" x14ac:dyDescent="0.25">
      <c r="A152" s="17"/>
      <c r="B152" s="17"/>
      <c r="C152" s="17"/>
      <c r="D152" s="17"/>
    </row>
    <row r="153" spans="1:4" ht="15.75" customHeight="1" x14ac:dyDescent="0.25">
      <c r="A153" s="17"/>
      <c r="B153" s="17"/>
      <c r="C153" s="17"/>
      <c r="D153" s="17"/>
    </row>
    <row r="154" spans="1:4" ht="15.75" customHeight="1" x14ac:dyDescent="0.25">
      <c r="A154" s="17"/>
      <c r="B154" s="17"/>
      <c r="C154" s="17"/>
      <c r="D154" s="17"/>
    </row>
    <row r="155" spans="1:4" ht="15.75" customHeight="1" x14ac:dyDescent="0.25">
      <c r="A155" s="17"/>
      <c r="B155" s="17"/>
      <c r="C155" s="17"/>
      <c r="D155" s="17"/>
    </row>
    <row r="156" spans="1:4" ht="15.75" customHeight="1" x14ac:dyDescent="0.25">
      <c r="A156" s="17"/>
      <c r="B156" s="17"/>
      <c r="C156" s="17"/>
      <c r="D156" s="17"/>
    </row>
    <row r="157" spans="1:4" ht="15.75" customHeight="1" x14ac:dyDescent="0.25">
      <c r="A157" s="17"/>
      <c r="B157" s="17"/>
      <c r="C157" s="17"/>
      <c r="D157" s="17"/>
    </row>
    <row r="158" spans="1:4" ht="15.75" customHeight="1" x14ac:dyDescent="0.25">
      <c r="A158" s="17"/>
      <c r="B158" s="17"/>
      <c r="C158" s="17"/>
      <c r="D158" s="17"/>
    </row>
    <row r="159" spans="1:4" ht="15.75" customHeight="1" x14ac:dyDescent="0.25">
      <c r="A159" s="17"/>
      <c r="B159" s="17"/>
      <c r="C159" s="17"/>
      <c r="D159" s="17"/>
    </row>
    <row r="160" spans="1:4" ht="15.75" customHeight="1" x14ac:dyDescent="0.25">
      <c r="A160" s="17"/>
      <c r="B160" s="17"/>
      <c r="C160" s="17"/>
      <c r="D160" s="17"/>
    </row>
    <row r="161" spans="1:4" ht="15.75" customHeight="1" x14ac:dyDescent="0.25">
      <c r="A161" s="17"/>
      <c r="B161" s="17"/>
      <c r="C161" s="17"/>
      <c r="D161" s="17"/>
    </row>
    <row r="162" spans="1:4" ht="15.75" customHeight="1" x14ac:dyDescent="0.25">
      <c r="A162" s="17"/>
      <c r="B162" s="17"/>
      <c r="C162" s="17"/>
      <c r="D162" s="17"/>
    </row>
    <row r="163" spans="1:4" ht="15.75" customHeight="1" x14ac:dyDescent="0.25">
      <c r="A163" s="17"/>
      <c r="B163" s="17"/>
      <c r="C163" s="17"/>
      <c r="D163" s="17"/>
    </row>
    <row r="164" spans="1:4" ht="15.75" customHeight="1" x14ac:dyDescent="0.25">
      <c r="A164" s="17"/>
      <c r="B164" s="17"/>
      <c r="C164" s="17"/>
      <c r="D164" s="17"/>
    </row>
    <row r="165" spans="1:4" ht="15.75" customHeight="1" x14ac:dyDescent="0.25">
      <c r="A165" s="17"/>
      <c r="B165" s="17"/>
      <c r="C165" s="17"/>
      <c r="D165" s="17"/>
    </row>
    <row r="166" spans="1:4" ht="15.75" customHeight="1" x14ac:dyDescent="0.25">
      <c r="A166" s="17"/>
      <c r="B166" s="17"/>
      <c r="C166" s="17"/>
      <c r="D166" s="17"/>
    </row>
    <row r="167" spans="1:4" ht="15.75" customHeight="1" x14ac:dyDescent="0.25">
      <c r="A167" s="17"/>
      <c r="B167" s="17"/>
      <c r="C167" s="17"/>
      <c r="D167" s="17"/>
    </row>
    <row r="168" spans="1:4" ht="15.75" customHeight="1" x14ac:dyDescent="0.25">
      <c r="A168" s="17"/>
      <c r="B168" s="17"/>
      <c r="C168" s="17"/>
      <c r="D168" s="17"/>
    </row>
    <row r="169" spans="1:4" ht="15.75" customHeight="1" x14ac:dyDescent="0.25">
      <c r="A169" s="17"/>
      <c r="B169" s="17"/>
      <c r="C169" s="17"/>
      <c r="D169" s="17"/>
    </row>
    <row r="170" spans="1:4" ht="15.75" customHeight="1" x14ac:dyDescent="0.25">
      <c r="A170" s="17"/>
      <c r="B170" s="17"/>
      <c r="C170" s="17"/>
      <c r="D170" s="17"/>
    </row>
    <row r="171" spans="1:4" ht="15.75" customHeight="1" x14ac:dyDescent="0.25">
      <c r="A171" s="17"/>
      <c r="B171" s="17"/>
      <c r="C171" s="17"/>
      <c r="D171" s="17"/>
    </row>
    <row r="172" spans="1:4" ht="15.75" customHeight="1" x14ac:dyDescent="0.25">
      <c r="A172" s="17"/>
      <c r="B172" s="17"/>
      <c r="C172" s="17"/>
      <c r="D172" s="17"/>
    </row>
    <row r="173" spans="1:4" ht="15.75" customHeight="1" x14ac:dyDescent="0.25">
      <c r="A173" s="17"/>
      <c r="B173" s="17"/>
      <c r="C173" s="17"/>
      <c r="D173" s="17"/>
    </row>
    <row r="174" spans="1:4" ht="15.75" customHeight="1" x14ac:dyDescent="0.25">
      <c r="A174" s="17"/>
      <c r="B174" s="17"/>
      <c r="C174" s="17"/>
      <c r="D174" s="17"/>
    </row>
    <row r="175" spans="1:4" ht="15.75" customHeight="1" x14ac:dyDescent="0.25">
      <c r="A175" s="17"/>
      <c r="B175" s="17"/>
      <c r="C175" s="17"/>
      <c r="D175" s="17"/>
    </row>
    <row r="176" spans="1:4" ht="15.75" customHeight="1" x14ac:dyDescent="0.25">
      <c r="A176" s="17"/>
      <c r="B176" s="17"/>
      <c r="C176" s="17"/>
      <c r="D176" s="17"/>
    </row>
    <row r="177" spans="1:4" ht="15.75" customHeight="1" x14ac:dyDescent="0.25">
      <c r="A177" s="17"/>
      <c r="B177" s="17"/>
      <c r="C177" s="17"/>
      <c r="D177" s="17"/>
    </row>
    <row r="178" spans="1:4" ht="15.75" customHeight="1" x14ac:dyDescent="0.25">
      <c r="A178" s="17"/>
      <c r="B178" s="17"/>
      <c r="C178" s="17"/>
      <c r="D178" s="17"/>
    </row>
    <row r="179" spans="1:4" ht="15.75" customHeight="1" x14ac:dyDescent="0.25">
      <c r="A179" s="17"/>
      <c r="B179" s="17"/>
      <c r="C179" s="17"/>
      <c r="D179" s="17"/>
    </row>
    <row r="180" spans="1:4" ht="15.75" customHeight="1" x14ac:dyDescent="0.25">
      <c r="A180" s="17"/>
      <c r="B180" s="17"/>
      <c r="C180" s="17"/>
      <c r="D180" s="17"/>
    </row>
    <row r="181" spans="1:4" ht="15.75" customHeight="1" x14ac:dyDescent="0.25">
      <c r="A181" s="17"/>
      <c r="B181" s="17"/>
      <c r="C181" s="17"/>
      <c r="D181" s="17"/>
    </row>
    <row r="182" spans="1:4" ht="15.75" customHeight="1" x14ac:dyDescent="0.25">
      <c r="A182" s="17"/>
      <c r="B182" s="17"/>
      <c r="C182" s="17"/>
      <c r="D182" s="17"/>
    </row>
    <row r="183" spans="1:4" ht="15.75" customHeight="1" x14ac:dyDescent="0.25">
      <c r="A183" s="17"/>
      <c r="B183" s="17"/>
      <c r="C183" s="17"/>
      <c r="D183" s="17"/>
    </row>
    <row r="184" spans="1:4" ht="15.75" customHeight="1" x14ac:dyDescent="0.25">
      <c r="A184" s="17"/>
      <c r="B184" s="17"/>
      <c r="C184" s="17"/>
      <c r="D184" s="17"/>
    </row>
    <row r="185" spans="1:4" ht="15.75" customHeight="1" x14ac:dyDescent="0.25">
      <c r="A185" s="17"/>
      <c r="B185" s="17"/>
      <c r="C185" s="17"/>
      <c r="D185" s="17"/>
    </row>
    <row r="186" spans="1:4" ht="15.75" customHeight="1" x14ac:dyDescent="0.25">
      <c r="A186" s="17"/>
      <c r="B186" s="17"/>
      <c r="C186" s="17"/>
      <c r="D186" s="17"/>
    </row>
    <row r="187" spans="1:4" ht="15.75" customHeight="1" x14ac:dyDescent="0.25">
      <c r="A187" s="17"/>
      <c r="B187" s="17"/>
      <c r="C187" s="17"/>
      <c r="D187" s="17"/>
    </row>
    <row r="188" spans="1:4" ht="15.75" customHeight="1" x14ac:dyDescent="0.25">
      <c r="A188" s="17"/>
      <c r="B188" s="17"/>
      <c r="C188" s="17"/>
      <c r="D188" s="17"/>
    </row>
    <row r="189" spans="1:4" ht="15.75" customHeight="1" x14ac:dyDescent="0.25">
      <c r="A189" s="17"/>
      <c r="B189" s="17"/>
      <c r="C189" s="17"/>
      <c r="D189" s="17"/>
    </row>
    <row r="190" spans="1:4" ht="15.75" customHeight="1" x14ac:dyDescent="0.25">
      <c r="A190" s="17"/>
      <c r="B190" s="17"/>
      <c r="C190" s="17"/>
      <c r="D190" s="17"/>
    </row>
    <row r="191" spans="1:4" ht="15.75" customHeight="1" x14ac:dyDescent="0.25">
      <c r="A191" s="17"/>
      <c r="B191" s="17"/>
      <c r="C191" s="17"/>
      <c r="D191" s="17"/>
    </row>
    <row r="192" spans="1:4" ht="15.75" customHeight="1" x14ac:dyDescent="0.25">
      <c r="A192" s="17"/>
      <c r="B192" s="17"/>
      <c r="C192" s="17"/>
      <c r="D192" s="17"/>
    </row>
    <row r="193" spans="1:4" ht="15.75" customHeight="1" x14ac:dyDescent="0.25">
      <c r="A193" s="17"/>
      <c r="B193" s="17"/>
      <c r="C193" s="17"/>
      <c r="D193" s="17"/>
    </row>
    <row r="194" spans="1:4" ht="15.75" customHeight="1" x14ac:dyDescent="0.25">
      <c r="A194" s="17"/>
      <c r="B194" s="17"/>
      <c r="C194" s="17"/>
      <c r="D194" s="17"/>
    </row>
    <row r="195" spans="1:4" ht="15.75" customHeight="1" x14ac:dyDescent="0.25">
      <c r="A195" s="17"/>
      <c r="B195" s="17"/>
      <c r="C195" s="17"/>
      <c r="D195" s="17"/>
    </row>
    <row r="196" spans="1:4" ht="15.75" customHeight="1" x14ac:dyDescent="0.25">
      <c r="A196" s="17"/>
      <c r="B196" s="17"/>
      <c r="C196" s="17"/>
      <c r="D196" s="17"/>
    </row>
    <row r="197" spans="1:4" ht="15.75" customHeight="1" x14ac:dyDescent="0.25">
      <c r="A197" s="17"/>
      <c r="B197" s="17"/>
      <c r="C197" s="17"/>
      <c r="D197" s="17"/>
    </row>
    <row r="198" spans="1:4" ht="15.75" customHeight="1" x14ac:dyDescent="0.25">
      <c r="A198" s="17"/>
      <c r="B198" s="17"/>
      <c r="C198" s="17"/>
      <c r="D198" s="17"/>
    </row>
    <row r="199" spans="1:4" ht="15.75" customHeight="1" x14ac:dyDescent="0.25">
      <c r="A199" s="17"/>
      <c r="B199" s="17"/>
      <c r="C199" s="17"/>
      <c r="D199" s="17"/>
    </row>
    <row r="200" spans="1:4" ht="15.75" customHeight="1" x14ac:dyDescent="0.25">
      <c r="A200" s="17"/>
      <c r="B200" s="17"/>
      <c r="C200" s="17"/>
      <c r="D200" s="17"/>
    </row>
    <row r="201" spans="1:4" ht="15.75" customHeight="1" x14ac:dyDescent="0.25">
      <c r="A201" s="17"/>
      <c r="B201" s="17"/>
      <c r="C201" s="17"/>
      <c r="D201" s="17"/>
    </row>
    <row r="202" spans="1:4" ht="15.75" customHeight="1" x14ac:dyDescent="0.25">
      <c r="A202" s="17"/>
      <c r="B202" s="17"/>
      <c r="C202" s="17"/>
      <c r="D202" s="17"/>
    </row>
    <row r="203" spans="1:4" ht="15.75" customHeight="1" x14ac:dyDescent="0.25">
      <c r="A203" s="17"/>
      <c r="B203" s="17"/>
      <c r="C203" s="17"/>
      <c r="D203" s="17"/>
    </row>
    <row r="204" spans="1:4" ht="15.75" customHeight="1" x14ac:dyDescent="0.25">
      <c r="A204" s="17"/>
      <c r="B204" s="17"/>
      <c r="C204" s="17"/>
      <c r="D204" s="17"/>
    </row>
    <row r="205" spans="1:4" ht="15.75" customHeight="1" x14ac:dyDescent="0.25">
      <c r="A205" s="17"/>
      <c r="B205" s="17"/>
      <c r="C205" s="17"/>
      <c r="D205" s="17"/>
    </row>
    <row r="206" spans="1:4" ht="15.75" customHeight="1" x14ac:dyDescent="0.25">
      <c r="A206" s="17"/>
      <c r="B206" s="17"/>
      <c r="C206" s="17"/>
      <c r="D206" s="17"/>
    </row>
    <row r="207" spans="1:4" ht="15.75" customHeight="1" x14ac:dyDescent="0.25">
      <c r="A207" s="17"/>
      <c r="B207" s="17"/>
      <c r="C207" s="17"/>
      <c r="D207" s="17"/>
    </row>
    <row r="208" spans="1:4" ht="15.75" customHeight="1" x14ac:dyDescent="0.25">
      <c r="A208" s="17"/>
      <c r="B208" s="17"/>
      <c r="C208" s="17"/>
      <c r="D208" s="17"/>
    </row>
    <row r="209" spans="1:4" ht="15.75" customHeight="1" x14ac:dyDescent="0.25">
      <c r="A209" s="17"/>
      <c r="B209" s="17"/>
      <c r="C209" s="17"/>
      <c r="D209" s="17"/>
    </row>
    <row r="210" spans="1:4" ht="15.75" customHeight="1" x14ac:dyDescent="0.25">
      <c r="A210" s="17"/>
      <c r="B210" s="17"/>
      <c r="C210" s="17"/>
      <c r="D210" s="17"/>
    </row>
    <row r="211" spans="1:4" ht="15.75" customHeight="1" x14ac:dyDescent="0.25">
      <c r="A211" s="17"/>
      <c r="B211" s="17"/>
      <c r="C211" s="17"/>
      <c r="D211" s="17"/>
    </row>
    <row r="212" spans="1:4" ht="15.75" customHeight="1" x14ac:dyDescent="0.25">
      <c r="A212" s="17"/>
      <c r="B212" s="17"/>
      <c r="C212" s="17"/>
      <c r="D212" s="17"/>
    </row>
    <row r="213" spans="1:4" ht="15.75" customHeight="1" x14ac:dyDescent="0.25">
      <c r="A213" s="17"/>
      <c r="B213" s="17"/>
      <c r="C213" s="17"/>
      <c r="D213" s="17"/>
    </row>
    <row r="214" spans="1:4" ht="15.75" customHeight="1" x14ac:dyDescent="0.25">
      <c r="A214" s="17"/>
      <c r="B214" s="17"/>
      <c r="C214" s="17"/>
      <c r="D214" s="17"/>
    </row>
    <row r="215" spans="1:4" ht="15.75" customHeight="1" x14ac:dyDescent="0.25">
      <c r="A215" s="17"/>
      <c r="B215" s="17"/>
      <c r="C215" s="17"/>
      <c r="D215" s="17"/>
    </row>
    <row r="216" spans="1:4" ht="15.75" customHeight="1" x14ac:dyDescent="0.25">
      <c r="A216" s="17"/>
      <c r="B216" s="17"/>
      <c r="C216" s="17"/>
      <c r="D216" s="17"/>
    </row>
    <row r="217" spans="1:4" ht="15.75" customHeight="1" x14ac:dyDescent="0.25">
      <c r="A217" s="17"/>
      <c r="B217" s="17"/>
      <c r="C217" s="17"/>
      <c r="D217" s="17"/>
    </row>
    <row r="218" spans="1:4" ht="15.75" customHeight="1" x14ac:dyDescent="0.25">
      <c r="A218" s="17"/>
      <c r="B218" s="17"/>
      <c r="C218" s="17"/>
      <c r="D218" s="17"/>
    </row>
    <row r="219" spans="1:4" ht="15.75" customHeight="1" x14ac:dyDescent="0.25">
      <c r="A219" s="17"/>
      <c r="B219" s="17"/>
      <c r="C219" s="17"/>
      <c r="D219" s="17"/>
    </row>
    <row r="220" spans="1:4" ht="15.75" customHeight="1" x14ac:dyDescent="0.25">
      <c r="A220" s="17"/>
      <c r="B220" s="17"/>
      <c r="C220" s="17"/>
      <c r="D220" s="17"/>
    </row>
    <row r="221" spans="1:4" ht="15.75" customHeight="1" x14ac:dyDescent="0.25">
      <c r="A221" s="17"/>
      <c r="B221" s="17"/>
      <c r="C221" s="17"/>
      <c r="D221" s="17"/>
    </row>
    <row r="222" spans="1:4" ht="15.75" customHeight="1" x14ac:dyDescent="0.25">
      <c r="A222" s="17"/>
      <c r="B222" s="17"/>
      <c r="C222" s="17"/>
      <c r="D222" s="17"/>
    </row>
    <row r="223" spans="1:4" ht="15.75" customHeight="1" x14ac:dyDescent="0.25">
      <c r="A223" s="17"/>
      <c r="B223" s="17"/>
      <c r="C223" s="17"/>
      <c r="D223" s="17"/>
    </row>
    <row r="224" spans="1:4" ht="15.75" customHeight="1" x14ac:dyDescent="0.25">
      <c r="A224" s="17"/>
      <c r="B224" s="17"/>
      <c r="C224" s="17"/>
      <c r="D224" s="17"/>
    </row>
    <row r="225" spans="1:4" ht="15.75" customHeight="1" x14ac:dyDescent="0.25">
      <c r="A225" s="17"/>
      <c r="B225" s="17"/>
      <c r="C225" s="17"/>
      <c r="D225" s="17"/>
    </row>
    <row r="226" spans="1:4" ht="15.75" customHeight="1" x14ac:dyDescent="0.25">
      <c r="A226" s="17"/>
      <c r="B226" s="17"/>
      <c r="C226" s="17"/>
      <c r="D226" s="17"/>
    </row>
    <row r="227" spans="1:4" ht="15.75" customHeight="1" x14ac:dyDescent="0.25">
      <c r="A227" s="17"/>
      <c r="B227" s="17"/>
      <c r="C227" s="17"/>
      <c r="D227" s="17"/>
    </row>
    <row r="228" spans="1:4" ht="15.75" customHeight="1" x14ac:dyDescent="0.25">
      <c r="A228" s="17"/>
      <c r="B228" s="17"/>
      <c r="C228" s="17"/>
      <c r="D228" s="17"/>
    </row>
    <row r="229" spans="1:4" ht="15.75" customHeight="1" x14ac:dyDescent="0.25">
      <c r="A229" s="17"/>
      <c r="B229" s="17"/>
      <c r="C229" s="17"/>
      <c r="D229" s="17"/>
    </row>
    <row r="230" spans="1:4" ht="15.75" customHeight="1" x14ac:dyDescent="0.25">
      <c r="A230" s="17"/>
      <c r="B230" s="17"/>
      <c r="C230" s="17"/>
      <c r="D230" s="17"/>
    </row>
    <row r="231" spans="1:4" ht="15.75" customHeight="1" x14ac:dyDescent="0.25">
      <c r="A231" s="17"/>
      <c r="B231" s="17"/>
      <c r="C231" s="17"/>
      <c r="D231" s="17"/>
    </row>
    <row r="232" spans="1:4" ht="15.75" customHeight="1" x14ac:dyDescent="0.25">
      <c r="A232" s="17"/>
      <c r="B232" s="17"/>
      <c r="C232" s="17"/>
      <c r="D232" s="17"/>
    </row>
    <row r="233" spans="1:4" ht="15.75" customHeight="1" x14ac:dyDescent="0.25">
      <c r="A233" s="17"/>
      <c r="B233" s="17"/>
      <c r="C233" s="17"/>
      <c r="D233" s="17"/>
    </row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2:G12"/>
    <mergeCell ref="A28:G28"/>
  </mergeCells>
  <dataValidations count="1">
    <dataValidation type="list" allowBlank="1" showErrorMessage="1" sqref="F14:F25 F30:F40" xr:uid="{00000000-0002-0000-0300-000000000000}">
      <formula1>"Avoid,Mitigate,Accept"</formula1>
    </dataValidation>
  </dataValidation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workbookViewId="0"/>
  </sheetViews>
  <sheetFormatPr defaultColWidth="12.6640625" defaultRowHeight="15" customHeight="1" x14ac:dyDescent="0.25"/>
  <cols>
    <col min="1" max="1" width="5.77734375" customWidth="1"/>
    <col min="2" max="2" width="11.8867187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ht="15.75" customHeight="1" x14ac:dyDescent="0.25">
      <c r="A2" s="5">
        <v>1</v>
      </c>
      <c r="B2" s="8">
        <f>$D$2/6</f>
        <v>6.666666666666667</v>
      </c>
      <c r="C2" s="42">
        <v>10</v>
      </c>
      <c r="D2" s="8">
        <v>40</v>
      </c>
      <c r="I2" s="43" t="s">
        <v>181</v>
      </c>
      <c r="J2" s="10">
        <v>1</v>
      </c>
      <c r="K2" s="42" t="s">
        <v>24</v>
      </c>
    </row>
    <row r="3" spans="1:11" ht="15.75" customHeight="1" x14ac:dyDescent="0.25">
      <c r="A3" s="5">
        <v>2</v>
      </c>
      <c r="B3" s="8">
        <f t="shared" ref="B3:B7" si="0">B2+$B$2</f>
        <v>13.333333333333334</v>
      </c>
      <c r="C3" s="42">
        <v>10</v>
      </c>
      <c r="D3" s="17"/>
      <c r="I3" s="43" t="s">
        <v>182</v>
      </c>
      <c r="J3" s="10">
        <v>1</v>
      </c>
      <c r="K3" s="42" t="s">
        <v>183</v>
      </c>
    </row>
    <row r="4" spans="1:11" ht="15.75" customHeight="1" x14ac:dyDescent="0.25">
      <c r="A4" s="5">
        <v>3</v>
      </c>
      <c r="B4" s="8">
        <f t="shared" si="0"/>
        <v>20</v>
      </c>
      <c r="C4" s="42">
        <v>20</v>
      </c>
      <c r="D4" s="17"/>
      <c r="I4" s="43" t="s">
        <v>184</v>
      </c>
      <c r="J4" s="10">
        <v>1</v>
      </c>
      <c r="K4" s="42" t="s">
        <v>14</v>
      </c>
    </row>
    <row r="5" spans="1:11" ht="15.75" customHeight="1" x14ac:dyDescent="0.25">
      <c r="A5" s="5">
        <v>4</v>
      </c>
      <c r="B5" s="8">
        <f t="shared" si="0"/>
        <v>26.666666666666668</v>
      </c>
      <c r="C5" s="42">
        <v>30</v>
      </c>
      <c r="D5" s="17"/>
      <c r="I5" s="43" t="s">
        <v>185</v>
      </c>
      <c r="J5" s="10">
        <v>1</v>
      </c>
      <c r="K5" s="42" t="s">
        <v>26</v>
      </c>
    </row>
    <row r="6" spans="1:11" ht="15.75" customHeight="1" x14ac:dyDescent="0.25">
      <c r="A6" s="5">
        <v>5</v>
      </c>
      <c r="B6" s="8">
        <f t="shared" si="0"/>
        <v>33.333333333333336</v>
      </c>
      <c r="C6" s="42">
        <v>30</v>
      </c>
      <c r="D6" s="17"/>
      <c r="I6" s="99" t="s">
        <v>186</v>
      </c>
      <c r="J6" s="100">
        <v>1</v>
      </c>
      <c r="K6" s="101" t="s">
        <v>30</v>
      </c>
    </row>
    <row r="7" spans="1:11" ht="15.75" customHeight="1" x14ac:dyDescent="0.25">
      <c r="A7" s="5">
        <v>6</v>
      </c>
      <c r="B7" s="8">
        <f t="shared" si="0"/>
        <v>40</v>
      </c>
      <c r="C7" s="42">
        <v>40</v>
      </c>
      <c r="D7" s="17"/>
      <c r="I7" s="43" t="s">
        <v>187</v>
      </c>
      <c r="J7" s="10">
        <v>1</v>
      </c>
      <c r="K7" s="42" t="s">
        <v>18</v>
      </c>
    </row>
    <row r="8" spans="1:11" ht="15.75" customHeight="1" x14ac:dyDescent="0.25">
      <c r="A8" s="17"/>
      <c r="B8" s="17"/>
      <c r="C8" s="17"/>
      <c r="D8" s="17"/>
    </row>
    <row r="9" spans="1:11" ht="15.75" customHeight="1" x14ac:dyDescent="0.25">
      <c r="A9" s="17"/>
      <c r="B9" s="17"/>
      <c r="C9" s="17"/>
      <c r="D9" s="17"/>
    </row>
    <row r="10" spans="1:11" ht="15.75" customHeight="1" x14ac:dyDescent="0.25">
      <c r="A10" s="17"/>
      <c r="B10" s="17"/>
      <c r="C10" s="17"/>
      <c r="D10" s="17"/>
    </row>
    <row r="11" spans="1:11" ht="15.75" customHeight="1" x14ac:dyDescent="0.25">
      <c r="A11" s="17"/>
      <c r="B11" s="17"/>
      <c r="C11" s="17"/>
      <c r="D11" s="17"/>
    </row>
    <row r="12" spans="1:11" ht="15.75" customHeight="1" x14ac:dyDescent="0.25">
      <c r="A12" s="119" t="s">
        <v>32</v>
      </c>
      <c r="B12" s="120"/>
      <c r="C12" s="120"/>
      <c r="D12" s="120"/>
      <c r="E12" s="120"/>
      <c r="F12" s="120"/>
      <c r="G12" s="121"/>
    </row>
    <row r="13" spans="1:11" ht="15.75" customHeight="1" x14ac:dyDescent="0.25">
      <c r="A13" s="26" t="s">
        <v>34</v>
      </c>
      <c r="B13" s="26" t="s">
        <v>35</v>
      </c>
      <c r="C13" s="26" t="s">
        <v>36</v>
      </c>
      <c r="D13" s="26" t="s">
        <v>37</v>
      </c>
      <c r="E13" s="87" t="s">
        <v>38</v>
      </c>
      <c r="F13" s="87" t="s">
        <v>39</v>
      </c>
      <c r="G13" s="87" t="s">
        <v>40</v>
      </c>
    </row>
    <row r="14" spans="1:11" ht="15.75" customHeight="1" x14ac:dyDescent="0.25">
      <c r="A14" s="12" t="s">
        <v>42</v>
      </c>
      <c r="B14" s="12" t="s">
        <v>43</v>
      </c>
      <c r="C14" s="102" t="s">
        <v>44</v>
      </c>
      <c r="D14" s="102" t="s">
        <v>44</v>
      </c>
      <c r="E14" s="103" t="s">
        <v>45</v>
      </c>
      <c r="F14" s="7" t="s">
        <v>46</v>
      </c>
      <c r="G14" s="42" t="s">
        <v>47</v>
      </c>
    </row>
    <row r="15" spans="1:11" ht="15.75" customHeight="1" x14ac:dyDescent="0.25">
      <c r="A15" s="12" t="s">
        <v>49</v>
      </c>
      <c r="B15" s="12" t="s">
        <v>43</v>
      </c>
      <c r="C15" s="19" t="s">
        <v>44</v>
      </c>
      <c r="D15" s="19" t="s">
        <v>50</v>
      </c>
      <c r="E15" s="34" t="s">
        <v>51</v>
      </c>
      <c r="F15" s="7" t="s">
        <v>52</v>
      </c>
      <c r="G15" s="90" t="s">
        <v>53</v>
      </c>
    </row>
    <row r="16" spans="1:11" ht="15.75" customHeight="1" x14ac:dyDescent="0.25">
      <c r="A16" s="12" t="s">
        <v>55</v>
      </c>
      <c r="B16" s="12" t="s">
        <v>43</v>
      </c>
      <c r="C16" s="104" t="s">
        <v>44</v>
      </c>
      <c r="D16" s="104" t="s">
        <v>44</v>
      </c>
      <c r="E16" s="105" t="s">
        <v>56</v>
      </c>
      <c r="F16" s="38" t="s">
        <v>52</v>
      </c>
      <c r="G16" s="19" t="s">
        <v>57</v>
      </c>
    </row>
    <row r="17" spans="1:7" ht="15.75" customHeight="1" x14ac:dyDescent="0.25">
      <c r="A17" s="12" t="s">
        <v>59</v>
      </c>
      <c r="B17" s="33" t="s">
        <v>60</v>
      </c>
      <c r="C17" s="19" t="s">
        <v>44</v>
      </c>
      <c r="D17" s="19" t="s">
        <v>50</v>
      </c>
      <c r="E17" s="39" t="s">
        <v>61</v>
      </c>
      <c r="F17" s="19" t="s">
        <v>52</v>
      </c>
      <c r="G17" s="19" t="s">
        <v>62</v>
      </c>
    </row>
    <row r="18" spans="1:7" ht="15.75" customHeight="1" x14ac:dyDescent="0.25">
      <c r="A18" s="12" t="s">
        <v>64</v>
      </c>
      <c r="B18" s="12" t="s">
        <v>43</v>
      </c>
      <c r="C18" s="42" t="s">
        <v>50</v>
      </c>
      <c r="D18" s="19" t="s">
        <v>44</v>
      </c>
      <c r="E18" s="43" t="s">
        <v>65</v>
      </c>
      <c r="F18" s="42" t="s">
        <v>52</v>
      </c>
      <c r="G18" s="42" t="s">
        <v>66</v>
      </c>
    </row>
    <row r="19" spans="1:7" ht="15.75" customHeight="1" x14ac:dyDescent="0.25">
      <c r="A19" s="42"/>
      <c r="B19" s="42"/>
      <c r="C19" s="42"/>
      <c r="D19" s="42"/>
      <c r="E19" s="42"/>
      <c r="F19" s="42"/>
      <c r="G19" s="42"/>
    </row>
    <row r="20" spans="1:7" ht="15.75" customHeight="1" x14ac:dyDescent="0.25">
      <c r="A20" s="42"/>
      <c r="B20" s="42"/>
      <c r="C20" s="42"/>
      <c r="D20" s="42"/>
      <c r="E20" s="42"/>
      <c r="F20" s="42"/>
      <c r="G20" s="42"/>
    </row>
    <row r="21" spans="1:7" ht="15.75" customHeight="1" x14ac:dyDescent="0.25">
      <c r="A21" s="42"/>
      <c r="B21" s="42"/>
      <c r="C21" s="42"/>
      <c r="D21" s="42"/>
      <c r="E21" s="42"/>
      <c r="F21" s="42"/>
      <c r="G21" s="42"/>
    </row>
    <row r="22" spans="1:7" ht="15.75" customHeight="1" x14ac:dyDescent="0.25">
      <c r="A22" s="42"/>
      <c r="B22" s="42"/>
      <c r="C22" s="42"/>
      <c r="D22" s="42"/>
      <c r="E22" s="42"/>
      <c r="F22" s="42"/>
      <c r="G22" s="42"/>
    </row>
    <row r="23" spans="1:7" ht="15.75" customHeight="1" x14ac:dyDescent="0.25">
      <c r="A23" s="42"/>
      <c r="B23" s="42"/>
      <c r="C23" s="42"/>
      <c r="D23" s="42"/>
      <c r="E23" s="42"/>
      <c r="F23" s="42"/>
      <c r="G23" s="42"/>
    </row>
    <row r="24" spans="1:7" ht="15.75" customHeight="1" x14ac:dyDescent="0.25">
      <c r="A24" s="42"/>
      <c r="B24" s="42"/>
      <c r="C24" s="42"/>
      <c r="D24" s="42"/>
      <c r="E24" s="42"/>
      <c r="F24" s="42"/>
      <c r="G24" s="42"/>
    </row>
    <row r="25" spans="1:7" ht="15.75" customHeight="1" x14ac:dyDescent="0.25">
      <c r="A25" s="42"/>
      <c r="B25" s="42"/>
      <c r="C25" s="42"/>
      <c r="D25" s="42"/>
      <c r="E25" s="42"/>
      <c r="F25" s="42"/>
      <c r="G25" s="42"/>
    </row>
    <row r="26" spans="1:7" ht="15.75" customHeight="1" x14ac:dyDescent="0.25">
      <c r="A26" s="17"/>
      <c r="B26" s="17"/>
      <c r="C26" s="17"/>
      <c r="D26" s="17"/>
    </row>
    <row r="27" spans="1:7" ht="15.75" customHeight="1" x14ac:dyDescent="0.25">
      <c r="A27" s="17"/>
      <c r="B27" s="17"/>
      <c r="C27" s="17"/>
      <c r="D27" s="17"/>
    </row>
    <row r="28" spans="1:7" ht="15.75" customHeight="1" x14ac:dyDescent="0.25">
      <c r="A28" s="119" t="s">
        <v>77</v>
      </c>
      <c r="B28" s="120"/>
      <c r="C28" s="120"/>
      <c r="D28" s="120"/>
      <c r="E28" s="120"/>
      <c r="F28" s="120"/>
      <c r="G28" s="121"/>
    </row>
    <row r="29" spans="1:7" ht="15.75" customHeight="1" x14ac:dyDescent="0.25">
      <c r="A29" s="26" t="s">
        <v>34</v>
      </c>
      <c r="B29" s="26" t="s">
        <v>79</v>
      </c>
      <c r="C29" s="26" t="s">
        <v>36</v>
      </c>
      <c r="D29" s="26" t="s">
        <v>37</v>
      </c>
      <c r="E29" s="87" t="s">
        <v>38</v>
      </c>
      <c r="F29" s="87" t="s">
        <v>39</v>
      </c>
      <c r="G29" s="87" t="s">
        <v>40</v>
      </c>
    </row>
    <row r="30" spans="1:7" ht="15.75" customHeight="1" x14ac:dyDescent="0.25">
      <c r="A30" s="19" t="s">
        <v>81</v>
      </c>
      <c r="B30" s="58" t="s">
        <v>82</v>
      </c>
      <c r="C30" s="12" t="s">
        <v>12</v>
      </c>
      <c r="D30" s="19" t="s">
        <v>44</v>
      </c>
      <c r="E30" s="59" t="s">
        <v>83</v>
      </c>
      <c r="F30" s="38" t="s">
        <v>46</v>
      </c>
      <c r="G30" s="98"/>
    </row>
    <row r="31" spans="1:7" ht="15.75" customHeight="1" x14ac:dyDescent="0.25">
      <c r="A31" s="19" t="s">
        <v>85</v>
      </c>
      <c r="B31" s="58" t="s">
        <v>82</v>
      </c>
      <c r="C31" s="12" t="s">
        <v>12</v>
      </c>
      <c r="D31" s="19" t="s">
        <v>44</v>
      </c>
      <c r="E31" s="59" t="s">
        <v>86</v>
      </c>
      <c r="F31" s="60" t="s">
        <v>52</v>
      </c>
      <c r="G31" s="12" t="s">
        <v>87</v>
      </c>
    </row>
    <row r="32" spans="1:7" ht="15.75" customHeight="1" x14ac:dyDescent="0.25">
      <c r="A32" s="19" t="s">
        <v>89</v>
      </c>
      <c r="B32" s="58" t="s">
        <v>82</v>
      </c>
      <c r="C32" s="12" t="s">
        <v>12</v>
      </c>
      <c r="D32" s="19" t="s">
        <v>50</v>
      </c>
      <c r="E32" s="106" t="s">
        <v>90</v>
      </c>
      <c r="F32" s="38" t="s">
        <v>52</v>
      </c>
      <c r="G32" s="54" t="s">
        <v>91</v>
      </c>
    </row>
    <row r="33" spans="1:7" ht="15.75" customHeight="1" x14ac:dyDescent="0.25">
      <c r="A33" s="33"/>
      <c r="B33" s="107"/>
      <c r="C33" s="42"/>
      <c r="D33" s="42"/>
      <c r="E33" s="108"/>
      <c r="F33" s="7"/>
      <c r="G33" s="42"/>
    </row>
    <row r="34" spans="1:7" ht="15.75" customHeight="1" x14ac:dyDescent="0.25">
      <c r="A34" s="42"/>
      <c r="B34" s="42"/>
      <c r="C34" s="33"/>
      <c r="D34" s="33"/>
      <c r="E34" s="33"/>
      <c r="F34" s="42"/>
      <c r="G34" s="42"/>
    </row>
    <row r="35" spans="1:7" ht="15.75" customHeight="1" x14ac:dyDescent="0.25">
      <c r="A35" s="42"/>
      <c r="B35" s="42"/>
      <c r="C35" s="42"/>
      <c r="D35" s="42"/>
      <c r="E35" s="42"/>
      <c r="F35" s="42"/>
      <c r="G35" s="42"/>
    </row>
    <row r="36" spans="1:7" ht="15.75" customHeight="1" x14ac:dyDescent="0.25">
      <c r="A36" s="42"/>
      <c r="B36" s="42"/>
      <c r="C36" s="42"/>
      <c r="D36" s="42"/>
      <c r="E36" s="42"/>
      <c r="F36" s="42"/>
      <c r="G36" s="42"/>
    </row>
    <row r="37" spans="1:7" ht="15.75" customHeight="1" x14ac:dyDescent="0.25">
      <c r="A37" s="42"/>
      <c r="B37" s="42"/>
      <c r="C37" s="42"/>
      <c r="D37" s="42"/>
      <c r="E37" s="42"/>
      <c r="F37" s="42"/>
      <c r="G37" s="42"/>
    </row>
    <row r="38" spans="1:7" ht="15.75" customHeight="1" x14ac:dyDescent="0.25">
      <c r="A38" s="42"/>
      <c r="B38" s="42"/>
      <c r="C38" s="42"/>
      <c r="D38" s="42"/>
      <c r="E38" s="42"/>
      <c r="F38" s="42"/>
      <c r="G38" s="42"/>
    </row>
    <row r="39" spans="1:7" ht="15.75" customHeight="1" x14ac:dyDescent="0.25">
      <c r="A39" s="42"/>
      <c r="B39" s="42"/>
      <c r="C39" s="42"/>
      <c r="D39" s="42"/>
      <c r="E39" s="42"/>
      <c r="F39" s="42"/>
      <c r="G39" s="42"/>
    </row>
    <row r="40" spans="1:7" ht="15.75" customHeight="1" x14ac:dyDescent="0.25">
      <c r="A40" s="42"/>
      <c r="B40" s="42"/>
      <c r="C40" s="42"/>
      <c r="D40" s="42"/>
      <c r="E40" s="42"/>
      <c r="F40" s="42"/>
      <c r="G40" s="42"/>
    </row>
    <row r="41" spans="1:7" ht="15.75" customHeight="1" x14ac:dyDescent="0.25">
      <c r="A41" s="17"/>
      <c r="B41" s="17"/>
      <c r="C41" s="17"/>
      <c r="D41" s="17"/>
    </row>
    <row r="42" spans="1:7" ht="15.75" customHeight="1" x14ac:dyDescent="0.25">
      <c r="A42" s="17"/>
      <c r="B42" s="17"/>
      <c r="C42" s="17"/>
      <c r="D42" s="17"/>
    </row>
    <row r="43" spans="1:7" ht="15.75" customHeight="1" x14ac:dyDescent="0.25">
      <c r="A43" s="17"/>
      <c r="B43" s="17"/>
      <c r="C43" s="17"/>
      <c r="D43" s="17"/>
    </row>
    <row r="44" spans="1:7" ht="15.75" customHeight="1" x14ac:dyDescent="0.25">
      <c r="A44" s="17"/>
      <c r="B44" s="17"/>
      <c r="C44" s="17"/>
      <c r="D44" s="17"/>
    </row>
    <row r="45" spans="1:7" ht="15.75" customHeight="1" x14ac:dyDescent="0.25">
      <c r="A45" s="17"/>
      <c r="B45" s="17"/>
      <c r="C45" s="17"/>
      <c r="D45" s="17"/>
    </row>
    <row r="46" spans="1:7" ht="15.75" customHeight="1" x14ac:dyDescent="0.25">
      <c r="A46" s="17"/>
      <c r="B46" s="17"/>
      <c r="C46" s="17"/>
      <c r="D46" s="17"/>
    </row>
    <row r="47" spans="1:7" ht="15.75" customHeight="1" x14ac:dyDescent="0.25">
      <c r="A47" s="17"/>
      <c r="B47" s="17"/>
      <c r="C47" s="17"/>
      <c r="D47" s="17"/>
    </row>
    <row r="48" spans="1:7" ht="15.75" customHeight="1" x14ac:dyDescent="0.25">
      <c r="A48" s="17"/>
      <c r="B48" s="17"/>
      <c r="C48" s="17"/>
      <c r="D48" s="17"/>
    </row>
    <row r="49" spans="1:4" ht="15.75" customHeight="1" x14ac:dyDescent="0.25">
      <c r="A49" s="17"/>
      <c r="B49" s="17"/>
      <c r="C49" s="17"/>
      <c r="D49" s="17"/>
    </row>
    <row r="50" spans="1:4" ht="15.75" customHeight="1" x14ac:dyDescent="0.25">
      <c r="A50" s="17"/>
      <c r="B50" s="17"/>
      <c r="C50" s="17"/>
      <c r="D50" s="17"/>
    </row>
    <row r="51" spans="1:4" ht="15.75" customHeight="1" x14ac:dyDescent="0.25">
      <c r="A51" s="17"/>
      <c r="B51" s="17"/>
      <c r="C51" s="17"/>
      <c r="D51" s="17"/>
    </row>
    <row r="52" spans="1:4" ht="15.75" customHeight="1" x14ac:dyDescent="0.25">
      <c r="A52" s="17"/>
      <c r="B52" s="17"/>
      <c r="C52" s="17"/>
      <c r="D52" s="17"/>
    </row>
    <row r="53" spans="1:4" ht="15.75" customHeight="1" x14ac:dyDescent="0.25">
      <c r="A53" s="17"/>
      <c r="B53" s="17"/>
      <c r="C53" s="17"/>
      <c r="D53" s="17"/>
    </row>
    <row r="54" spans="1:4" ht="15.75" customHeight="1" x14ac:dyDescent="0.25">
      <c r="A54" s="17"/>
      <c r="B54" s="17"/>
      <c r="C54" s="17"/>
      <c r="D54" s="17"/>
    </row>
    <row r="55" spans="1:4" ht="15.75" customHeight="1" x14ac:dyDescent="0.25">
      <c r="A55" s="17"/>
      <c r="B55" s="17"/>
      <c r="C55" s="17"/>
      <c r="D55" s="17"/>
    </row>
    <row r="56" spans="1:4" ht="15.75" customHeight="1" x14ac:dyDescent="0.25">
      <c r="A56" s="17"/>
      <c r="B56" s="17"/>
      <c r="C56" s="17"/>
      <c r="D56" s="17"/>
    </row>
    <row r="57" spans="1:4" ht="15.75" customHeight="1" x14ac:dyDescent="0.25">
      <c r="A57" s="17"/>
      <c r="B57" s="17"/>
      <c r="C57" s="17"/>
      <c r="D57" s="17"/>
    </row>
    <row r="58" spans="1:4" ht="15.75" customHeight="1" x14ac:dyDescent="0.25">
      <c r="A58" s="17"/>
      <c r="B58" s="17"/>
      <c r="C58" s="17"/>
      <c r="D58" s="17"/>
    </row>
    <row r="59" spans="1:4" ht="15.75" customHeight="1" x14ac:dyDescent="0.25">
      <c r="A59" s="17"/>
      <c r="B59" s="17"/>
      <c r="C59" s="17"/>
      <c r="D59" s="17"/>
    </row>
    <row r="60" spans="1:4" ht="15.75" customHeight="1" x14ac:dyDescent="0.25">
      <c r="A60" s="17"/>
      <c r="B60" s="17"/>
      <c r="C60" s="17"/>
      <c r="D60" s="17"/>
    </row>
    <row r="61" spans="1:4" ht="15.75" customHeight="1" x14ac:dyDescent="0.25">
      <c r="A61" s="17"/>
      <c r="B61" s="17"/>
      <c r="C61" s="17"/>
      <c r="D61" s="17"/>
    </row>
    <row r="62" spans="1:4" ht="15.75" customHeight="1" x14ac:dyDescent="0.25">
      <c r="A62" s="17"/>
      <c r="B62" s="17"/>
      <c r="C62" s="17"/>
      <c r="D62" s="17"/>
    </row>
    <row r="63" spans="1:4" ht="15.75" customHeight="1" x14ac:dyDescent="0.25">
      <c r="A63" s="17"/>
      <c r="B63" s="17"/>
      <c r="C63" s="17"/>
      <c r="D63" s="17"/>
    </row>
    <row r="64" spans="1:4" ht="15.75" customHeight="1" x14ac:dyDescent="0.25">
      <c r="A64" s="17"/>
      <c r="B64" s="17"/>
      <c r="C64" s="17"/>
      <c r="D64" s="17"/>
    </row>
    <row r="65" spans="1:4" ht="15.75" customHeight="1" x14ac:dyDescent="0.25">
      <c r="A65" s="17"/>
      <c r="B65" s="17"/>
      <c r="C65" s="17"/>
      <c r="D65" s="17"/>
    </row>
    <row r="66" spans="1:4" ht="15.75" customHeight="1" x14ac:dyDescent="0.25">
      <c r="A66" s="17"/>
      <c r="B66" s="17"/>
      <c r="C66" s="17"/>
      <c r="D66" s="17"/>
    </row>
    <row r="67" spans="1:4" ht="15.75" customHeight="1" x14ac:dyDescent="0.25">
      <c r="A67" s="17"/>
      <c r="B67" s="17"/>
      <c r="C67" s="17"/>
      <c r="D67" s="17"/>
    </row>
    <row r="68" spans="1:4" ht="15.75" customHeight="1" x14ac:dyDescent="0.25">
      <c r="A68" s="17"/>
      <c r="B68" s="17"/>
      <c r="C68" s="17"/>
      <c r="D68" s="17"/>
    </row>
    <row r="69" spans="1:4" ht="15.75" customHeight="1" x14ac:dyDescent="0.25">
      <c r="A69" s="17"/>
      <c r="B69" s="17"/>
      <c r="C69" s="17"/>
      <c r="D69" s="17"/>
    </row>
    <row r="70" spans="1:4" ht="15.75" customHeight="1" x14ac:dyDescent="0.25">
      <c r="A70" s="17"/>
      <c r="B70" s="17"/>
      <c r="C70" s="17"/>
      <c r="D70" s="17"/>
    </row>
    <row r="71" spans="1:4" ht="15.75" customHeight="1" x14ac:dyDescent="0.25">
      <c r="A71" s="17"/>
      <c r="B71" s="17"/>
      <c r="C71" s="17"/>
      <c r="D71" s="17"/>
    </row>
    <row r="72" spans="1:4" ht="15.75" customHeight="1" x14ac:dyDescent="0.25">
      <c r="A72" s="17"/>
      <c r="B72" s="17"/>
      <c r="C72" s="17"/>
      <c r="D72" s="17"/>
    </row>
    <row r="73" spans="1:4" ht="15.75" customHeight="1" x14ac:dyDescent="0.25">
      <c r="A73" s="17"/>
      <c r="B73" s="17"/>
      <c r="C73" s="17"/>
      <c r="D73" s="17"/>
    </row>
    <row r="74" spans="1:4" ht="15.75" customHeight="1" x14ac:dyDescent="0.25">
      <c r="A74" s="17"/>
      <c r="B74" s="17"/>
      <c r="C74" s="17"/>
      <c r="D74" s="17"/>
    </row>
    <row r="75" spans="1:4" ht="15.75" customHeight="1" x14ac:dyDescent="0.25">
      <c r="A75" s="17"/>
      <c r="B75" s="17"/>
      <c r="C75" s="17"/>
      <c r="D75" s="17"/>
    </row>
    <row r="76" spans="1:4" ht="15.75" customHeight="1" x14ac:dyDescent="0.25">
      <c r="A76" s="17"/>
      <c r="B76" s="17"/>
      <c r="C76" s="17"/>
      <c r="D76" s="17"/>
    </row>
    <row r="77" spans="1:4" ht="15.75" customHeight="1" x14ac:dyDescent="0.25">
      <c r="A77" s="17"/>
      <c r="B77" s="17"/>
      <c r="C77" s="17"/>
      <c r="D77" s="17"/>
    </row>
    <row r="78" spans="1:4" ht="15.75" customHeight="1" x14ac:dyDescent="0.25">
      <c r="A78" s="17"/>
      <c r="B78" s="17"/>
      <c r="C78" s="17"/>
      <c r="D78" s="17"/>
    </row>
    <row r="79" spans="1:4" ht="15.75" customHeight="1" x14ac:dyDescent="0.25">
      <c r="A79" s="17"/>
      <c r="B79" s="17"/>
      <c r="C79" s="17"/>
      <c r="D79" s="17"/>
    </row>
    <row r="80" spans="1:4" ht="15.75" customHeight="1" x14ac:dyDescent="0.25">
      <c r="A80" s="17"/>
      <c r="B80" s="17"/>
      <c r="C80" s="17"/>
      <c r="D80" s="17"/>
    </row>
    <row r="81" spans="1:4" ht="15.75" customHeight="1" x14ac:dyDescent="0.25">
      <c r="A81" s="17"/>
      <c r="B81" s="17"/>
      <c r="C81" s="17"/>
      <c r="D81" s="17"/>
    </row>
    <row r="82" spans="1:4" ht="15.75" customHeight="1" x14ac:dyDescent="0.25">
      <c r="A82" s="17"/>
      <c r="B82" s="17"/>
      <c r="C82" s="17"/>
      <c r="D82" s="17"/>
    </row>
    <row r="83" spans="1:4" ht="15.75" customHeight="1" x14ac:dyDescent="0.25">
      <c r="A83" s="17"/>
      <c r="B83" s="17"/>
      <c r="C83" s="17"/>
      <c r="D83" s="17"/>
    </row>
    <row r="84" spans="1:4" ht="15.75" customHeight="1" x14ac:dyDescent="0.25">
      <c r="A84" s="17"/>
      <c r="B84" s="17"/>
      <c r="C84" s="17"/>
      <c r="D84" s="17"/>
    </row>
    <row r="85" spans="1:4" ht="15.75" customHeight="1" x14ac:dyDescent="0.25">
      <c r="A85" s="17"/>
      <c r="B85" s="17"/>
      <c r="C85" s="17"/>
      <c r="D85" s="17"/>
    </row>
    <row r="86" spans="1:4" ht="15.75" customHeight="1" x14ac:dyDescent="0.25">
      <c r="A86" s="17"/>
      <c r="B86" s="17"/>
      <c r="C86" s="17"/>
      <c r="D86" s="17"/>
    </row>
    <row r="87" spans="1:4" ht="15.75" customHeight="1" x14ac:dyDescent="0.25">
      <c r="A87" s="17"/>
      <c r="B87" s="17"/>
      <c r="C87" s="17"/>
      <c r="D87" s="17"/>
    </row>
    <row r="88" spans="1:4" ht="15.75" customHeight="1" x14ac:dyDescent="0.25">
      <c r="A88" s="17"/>
      <c r="B88" s="17"/>
      <c r="C88" s="17"/>
      <c r="D88" s="17"/>
    </row>
    <row r="89" spans="1:4" ht="15.75" customHeight="1" x14ac:dyDescent="0.25">
      <c r="A89" s="17"/>
      <c r="B89" s="17"/>
      <c r="C89" s="17"/>
      <c r="D89" s="17"/>
    </row>
    <row r="90" spans="1:4" ht="15.75" customHeight="1" x14ac:dyDescent="0.25">
      <c r="A90" s="17"/>
      <c r="B90" s="17"/>
      <c r="C90" s="17"/>
      <c r="D90" s="17"/>
    </row>
    <row r="91" spans="1:4" ht="15.75" customHeight="1" x14ac:dyDescent="0.25">
      <c r="A91" s="17"/>
      <c r="B91" s="17"/>
      <c r="C91" s="17"/>
      <c r="D91" s="17"/>
    </row>
    <row r="92" spans="1:4" ht="15.75" customHeight="1" x14ac:dyDescent="0.25">
      <c r="A92" s="17"/>
      <c r="B92" s="17"/>
      <c r="C92" s="17"/>
      <c r="D92" s="17"/>
    </row>
    <row r="93" spans="1:4" ht="15.75" customHeight="1" x14ac:dyDescent="0.25">
      <c r="A93" s="17"/>
      <c r="B93" s="17"/>
      <c r="C93" s="17"/>
      <c r="D93" s="17"/>
    </row>
    <row r="94" spans="1:4" ht="15.75" customHeight="1" x14ac:dyDescent="0.25">
      <c r="A94" s="17"/>
      <c r="B94" s="17"/>
      <c r="C94" s="17"/>
      <c r="D94" s="17"/>
    </row>
    <row r="95" spans="1:4" ht="15.75" customHeight="1" x14ac:dyDescent="0.25">
      <c r="A95" s="17"/>
      <c r="B95" s="17"/>
      <c r="C95" s="17"/>
      <c r="D95" s="17"/>
    </row>
    <row r="96" spans="1:4" ht="15.75" customHeight="1" x14ac:dyDescent="0.25">
      <c r="A96" s="17"/>
      <c r="B96" s="17"/>
      <c r="C96" s="17"/>
      <c r="D96" s="17"/>
    </row>
    <row r="97" spans="1:4" ht="15.75" customHeight="1" x14ac:dyDescent="0.25">
      <c r="A97" s="17"/>
      <c r="B97" s="17"/>
      <c r="C97" s="17"/>
      <c r="D97" s="17"/>
    </row>
    <row r="98" spans="1:4" ht="15.75" customHeight="1" x14ac:dyDescent="0.25">
      <c r="A98" s="17"/>
      <c r="B98" s="17"/>
      <c r="C98" s="17"/>
      <c r="D98" s="17"/>
    </row>
    <row r="99" spans="1:4" ht="15.75" customHeight="1" x14ac:dyDescent="0.25">
      <c r="A99" s="17"/>
      <c r="B99" s="17"/>
      <c r="C99" s="17"/>
      <c r="D99" s="17"/>
    </row>
    <row r="100" spans="1:4" ht="15.75" customHeight="1" x14ac:dyDescent="0.25">
      <c r="A100" s="17"/>
      <c r="B100" s="17"/>
      <c r="C100" s="17"/>
      <c r="D100" s="17"/>
    </row>
    <row r="101" spans="1:4" ht="15.75" customHeight="1" x14ac:dyDescent="0.25">
      <c r="A101" s="17"/>
      <c r="B101" s="17"/>
      <c r="C101" s="17"/>
      <c r="D101" s="17"/>
    </row>
    <row r="102" spans="1:4" ht="15.75" customHeight="1" x14ac:dyDescent="0.25">
      <c r="A102" s="17"/>
      <c r="B102" s="17"/>
      <c r="C102" s="17"/>
      <c r="D102" s="17"/>
    </row>
    <row r="103" spans="1:4" ht="15.75" customHeight="1" x14ac:dyDescent="0.25">
      <c r="A103" s="17"/>
      <c r="B103" s="17"/>
      <c r="C103" s="17"/>
      <c r="D103" s="17"/>
    </row>
    <row r="104" spans="1:4" ht="15.75" customHeight="1" x14ac:dyDescent="0.25">
      <c r="A104" s="17"/>
      <c r="B104" s="17"/>
      <c r="C104" s="17"/>
      <c r="D104" s="17"/>
    </row>
    <row r="105" spans="1:4" ht="15.75" customHeight="1" x14ac:dyDescent="0.25">
      <c r="A105" s="17"/>
      <c r="B105" s="17"/>
      <c r="C105" s="17"/>
      <c r="D105" s="17"/>
    </row>
    <row r="106" spans="1:4" ht="15.75" customHeight="1" x14ac:dyDescent="0.25">
      <c r="A106" s="17"/>
      <c r="B106" s="17"/>
      <c r="C106" s="17"/>
      <c r="D106" s="17"/>
    </row>
    <row r="107" spans="1:4" ht="15.75" customHeight="1" x14ac:dyDescent="0.25">
      <c r="A107" s="17"/>
      <c r="B107" s="17"/>
      <c r="C107" s="17"/>
      <c r="D107" s="17"/>
    </row>
    <row r="108" spans="1:4" ht="15.75" customHeight="1" x14ac:dyDescent="0.25">
      <c r="A108" s="17"/>
      <c r="B108" s="17"/>
      <c r="C108" s="17"/>
      <c r="D108" s="17"/>
    </row>
    <row r="109" spans="1:4" ht="15.75" customHeight="1" x14ac:dyDescent="0.25">
      <c r="A109" s="17"/>
      <c r="B109" s="17"/>
      <c r="C109" s="17"/>
      <c r="D109" s="17"/>
    </row>
    <row r="110" spans="1:4" ht="15.75" customHeight="1" x14ac:dyDescent="0.25">
      <c r="A110" s="17"/>
      <c r="B110" s="17"/>
      <c r="C110" s="17"/>
      <c r="D110" s="17"/>
    </row>
    <row r="111" spans="1:4" ht="15.75" customHeight="1" x14ac:dyDescent="0.25">
      <c r="A111" s="17"/>
      <c r="B111" s="17"/>
      <c r="C111" s="17"/>
      <c r="D111" s="17"/>
    </row>
    <row r="112" spans="1:4" ht="15.75" customHeight="1" x14ac:dyDescent="0.25">
      <c r="A112" s="17"/>
      <c r="B112" s="17"/>
      <c r="C112" s="17"/>
      <c r="D112" s="17"/>
    </row>
    <row r="113" spans="1:4" ht="15.75" customHeight="1" x14ac:dyDescent="0.25">
      <c r="A113" s="17"/>
      <c r="B113" s="17"/>
      <c r="C113" s="17"/>
      <c r="D113" s="17"/>
    </row>
    <row r="114" spans="1:4" ht="15.75" customHeight="1" x14ac:dyDescent="0.25">
      <c r="A114" s="17"/>
      <c r="B114" s="17"/>
      <c r="C114" s="17"/>
      <c r="D114" s="17"/>
    </row>
    <row r="115" spans="1:4" ht="15.75" customHeight="1" x14ac:dyDescent="0.25">
      <c r="A115" s="17"/>
      <c r="B115" s="17"/>
      <c r="C115" s="17"/>
      <c r="D115" s="17"/>
    </row>
    <row r="116" spans="1:4" ht="15.75" customHeight="1" x14ac:dyDescent="0.25">
      <c r="A116" s="17"/>
      <c r="B116" s="17"/>
      <c r="C116" s="17"/>
      <c r="D116" s="17"/>
    </row>
    <row r="117" spans="1:4" ht="15.75" customHeight="1" x14ac:dyDescent="0.25">
      <c r="A117" s="17"/>
      <c r="B117" s="17"/>
      <c r="C117" s="17"/>
      <c r="D117" s="17"/>
    </row>
    <row r="118" spans="1:4" ht="15.75" customHeight="1" x14ac:dyDescent="0.25">
      <c r="A118" s="17"/>
      <c r="B118" s="17"/>
      <c r="C118" s="17"/>
      <c r="D118" s="17"/>
    </row>
    <row r="119" spans="1:4" ht="15.75" customHeight="1" x14ac:dyDescent="0.25">
      <c r="A119" s="17"/>
      <c r="B119" s="17"/>
      <c r="C119" s="17"/>
      <c r="D119" s="17"/>
    </row>
    <row r="120" spans="1:4" ht="15.75" customHeight="1" x14ac:dyDescent="0.25">
      <c r="A120" s="17"/>
      <c r="B120" s="17"/>
      <c r="C120" s="17"/>
      <c r="D120" s="17"/>
    </row>
    <row r="121" spans="1:4" ht="15.75" customHeight="1" x14ac:dyDescent="0.25">
      <c r="A121" s="17"/>
      <c r="B121" s="17"/>
      <c r="C121" s="17"/>
      <c r="D121" s="17"/>
    </row>
    <row r="122" spans="1:4" ht="15.75" customHeight="1" x14ac:dyDescent="0.25">
      <c r="A122" s="17"/>
      <c r="B122" s="17"/>
      <c r="C122" s="17"/>
      <c r="D122" s="17"/>
    </row>
    <row r="123" spans="1:4" ht="15.75" customHeight="1" x14ac:dyDescent="0.25">
      <c r="A123" s="17"/>
      <c r="B123" s="17"/>
      <c r="C123" s="17"/>
      <c r="D123" s="17"/>
    </row>
    <row r="124" spans="1:4" ht="15.75" customHeight="1" x14ac:dyDescent="0.25">
      <c r="A124" s="17"/>
      <c r="B124" s="17"/>
      <c r="C124" s="17"/>
      <c r="D124" s="17"/>
    </row>
    <row r="125" spans="1:4" ht="15.75" customHeight="1" x14ac:dyDescent="0.25">
      <c r="A125" s="17"/>
      <c r="B125" s="17"/>
      <c r="C125" s="17"/>
      <c r="D125" s="17"/>
    </row>
    <row r="126" spans="1:4" ht="15.75" customHeight="1" x14ac:dyDescent="0.25">
      <c r="A126" s="17"/>
      <c r="B126" s="17"/>
      <c r="C126" s="17"/>
      <c r="D126" s="17"/>
    </row>
    <row r="127" spans="1:4" ht="15.75" customHeight="1" x14ac:dyDescent="0.25">
      <c r="A127" s="17"/>
      <c r="B127" s="17"/>
      <c r="C127" s="17"/>
      <c r="D127" s="17"/>
    </row>
    <row r="128" spans="1:4" ht="15.75" customHeight="1" x14ac:dyDescent="0.25">
      <c r="A128" s="17"/>
      <c r="B128" s="17"/>
      <c r="C128" s="17"/>
      <c r="D128" s="17"/>
    </row>
    <row r="129" spans="1:4" ht="15.75" customHeight="1" x14ac:dyDescent="0.25">
      <c r="A129" s="17"/>
      <c r="B129" s="17"/>
      <c r="C129" s="17"/>
      <c r="D129" s="17"/>
    </row>
    <row r="130" spans="1:4" ht="15.75" customHeight="1" x14ac:dyDescent="0.25">
      <c r="A130" s="17"/>
      <c r="B130" s="17"/>
      <c r="C130" s="17"/>
      <c r="D130" s="17"/>
    </row>
    <row r="131" spans="1:4" ht="15.75" customHeight="1" x14ac:dyDescent="0.25">
      <c r="A131" s="17"/>
      <c r="B131" s="17"/>
      <c r="C131" s="17"/>
      <c r="D131" s="17"/>
    </row>
    <row r="132" spans="1:4" ht="15.75" customHeight="1" x14ac:dyDescent="0.25">
      <c r="A132" s="17"/>
      <c r="B132" s="17"/>
      <c r="C132" s="17"/>
      <c r="D132" s="17"/>
    </row>
    <row r="133" spans="1:4" ht="15.75" customHeight="1" x14ac:dyDescent="0.25">
      <c r="A133" s="17"/>
      <c r="B133" s="17"/>
      <c r="C133" s="17"/>
      <c r="D133" s="17"/>
    </row>
    <row r="134" spans="1:4" ht="15.75" customHeight="1" x14ac:dyDescent="0.25">
      <c r="A134" s="17"/>
      <c r="B134" s="17"/>
      <c r="C134" s="17"/>
      <c r="D134" s="17"/>
    </row>
    <row r="135" spans="1:4" ht="15.75" customHeight="1" x14ac:dyDescent="0.25">
      <c r="A135" s="17"/>
      <c r="B135" s="17"/>
      <c r="C135" s="17"/>
      <c r="D135" s="17"/>
    </row>
    <row r="136" spans="1:4" ht="15.75" customHeight="1" x14ac:dyDescent="0.25">
      <c r="A136" s="17"/>
      <c r="B136" s="17"/>
      <c r="C136" s="17"/>
      <c r="D136" s="17"/>
    </row>
    <row r="137" spans="1:4" ht="15.75" customHeight="1" x14ac:dyDescent="0.25">
      <c r="A137" s="17"/>
      <c r="B137" s="17"/>
      <c r="C137" s="17"/>
      <c r="D137" s="17"/>
    </row>
    <row r="138" spans="1:4" ht="15.75" customHeight="1" x14ac:dyDescent="0.25">
      <c r="A138" s="17"/>
      <c r="B138" s="17"/>
      <c r="C138" s="17"/>
      <c r="D138" s="17"/>
    </row>
    <row r="139" spans="1:4" ht="15.75" customHeight="1" x14ac:dyDescent="0.25">
      <c r="A139" s="17"/>
      <c r="B139" s="17"/>
      <c r="C139" s="17"/>
      <c r="D139" s="17"/>
    </row>
    <row r="140" spans="1:4" ht="15.75" customHeight="1" x14ac:dyDescent="0.25">
      <c r="A140" s="17"/>
      <c r="B140" s="17"/>
      <c r="C140" s="17"/>
      <c r="D140" s="17"/>
    </row>
    <row r="141" spans="1:4" ht="15.75" customHeight="1" x14ac:dyDescent="0.25">
      <c r="A141" s="17"/>
      <c r="B141" s="17"/>
      <c r="C141" s="17"/>
      <c r="D141" s="17"/>
    </row>
    <row r="142" spans="1:4" ht="15.75" customHeight="1" x14ac:dyDescent="0.25">
      <c r="A142" s="17"/>
      <c r="B142" s="17"/>
      <c r="C142" s="17"/>
      <c r="D142" s="17"/>
    </row>
    <row r="143" spans="1:4" ht="15.75" customHeight="1" x14ac:dyDescent="0.25">
      <c r="A143" s="17"/>
      <c r="B143" s="17"/>
      <c r="C143" s="17"/>
      <c r="D143" s="17"/>
    </row>
    <row r="144" spans="1:4" ht="15.75" customHeight="1" x14ac:dyDescent="0.25">
      <c r="A144" s="17"/>
      <c r="B144" s="17"/>
      <c r="C144" s="17"/>
      <c r="D144" s="17"/>
    </row>
    <row r="145" spans="1:4" ht="15.75" customHeight="1" x14ac:dyDescent="0.25">
      <c r="A145" s="17"/>
      <c r="B145" s="17"/>
      <c r="C145" s="17"/>
      <c r="D145" s="17"/>
    </row>
    <row r="146" spans="1:4" ht="15.75" customHeight="1" x14ac:dyDescent="0.25">
      <c r="A146" s="17"/>
      <c r="B146" s="17"/>
      <c r="C146" s="17"/>
      <c r="D146" s="17"/>
    </row>
    <row r="147" spans="1:4" ht="15.75" customHeight="1" x14ac:dyDescent="0.25">
      <c r="A147" s="17"/>
      <c r="B147" s="17"/>
      <c r="C147" s="17"/>
      <c r="D147" s="17"/>
    </row>
    <row r="148" spans="1:4" ht="15.75" customHeight="1" x14ac:dyDescent="0.25">
      <c r="A148" s="17"/>
      <c r="B148" s="17"/>
      <c r="C148" s="17"/>
      <c r="D148" s="17"/>
    </row>
    <row r="149" spans="1:4" ht="15.75" customHeight="1" x14ac:dyDescent="0.25">
      <c r="A149" s="17"/>
      <c r="B149" s="17"/>
      <c r="C149" s="17"/>
      <c r="D149" s="17"/>
    </row>
    <row r="150" spans="1:4" ht="15.75" customHeight="1" x14ac:dyDescent="0.25">
      <c r="A150" s="17"/>
      <c r="B150" s="17"/>
      <c r="C150" s="17"/>
      <c r="D150" s="17"/>
    </row>
    <row r="151" spans="1:4" ht="15.75" customHeight="1" x14ac:dyDescent="0.25">
      <c r="A151" s="17"/>
      <c r="B151" s="17"/>
      <c r="C151" s="17"/>
      <c r="D151" s="17"/>
    </row>
    <row r="152" spans="1:4" ht="15.75" customHeight="1" x14ac:dyDescent="0.25">
      <c r="A152" s="17"/>
      <c r="B152" s="17"/>
      <c r="C152" s="17"/>
      <c r="D152" s="17"/>
    </row>
    <row r="153" spans="1:4" ht="15.75" customHeight="1" x14ac:dyDescent="0.25">
      <c r="A153" s="17"/>
      <c r="B153" s="17"/>
      <c r="C153" s="17"/>
      <c r="D153" s="17"/>
    </row>
    <row r="154" spans="1:4" ht="15.75" customHeight="1" x14ac:dyDescent="0.25">
      <c r="A154" s="17"/>
      <c r="B154" s="17"/>
      <c r="C154" s="17"/>
      <c r="D154" s="17"/>
    </row>
    <row r="155" spans="1:4" ht="15.75" customHeight="1" x14ac:dyDescent="0.25">
      <c r="A155" s="17"/>
      <c r="B155" s="17"/>
      <c r="C155" s="17"/>
      <c r="D155" s="17"/>
    </row>
    <row r="156" spans="1:4" ht="15.75" customHeight="1" x14ac:dyDescent="0.25">
      <c r="A156" s="17"/>
      <c r="B156" s="17"/>
      <c r="C156" s="17"/>
      <c r="D156" s="17"/>
    </row>
    <row r="157" spans="1:4" ht="15.75" customHeight="1" x14ac:dyDescent="0.25">
      <c r="A157" s="17"/>
      <c r="B157" s="17"/>
      <c r="C157" s="17"/>
      <c r="D157" s="17"/>
    </row>
    <row r="158" spans="1:4" ht="15.75" customHeight="1" x14ac:dyDescent="0.25">
      <c r="A158" s="17"/>
      <c r="B158" s="17"/>
      <c r="C158" s="17"/>
      <c r="D158" s="17"/>
    </row>
    <row r="159" spans="1:4" ht="15.75" customHeight="1" x14ac:dyDescent="0.25">
      <c r="A159" s="17"/>
      <c r="B159" s="17"/>
      <c r="C159" s="17"/>
      <c r="D159" s="17"/>
    </row>
    <row r="160" spans="1:4" ht="15.75" customHeight="1" x14ac:dyDescent="0.25">
      <c r="A160" s="17"/>
      <c r="B160" s="17"/>
      <c r="C160" s="17"/>
      <c r="D160" s="17"/>
    </row>
    <row r="161" spans="1:4" ht="15.75" customHeight="1" x14ac:dyDescent="0.25">
      <c r="A161" s="17"/>
      <c r="B161" s="17"/>
      <c r="C161" s="17"/>
      <c r="D161" s="17"/>
    </row>
    <row r="162" spans="1:4" ht="15.75" customHeight="1" x14ac:dyDescent="0.25">
      <c r="A162" s="17"/>
      <c r="B162" s="17"/>
      <c r="C162" s="17"/>
      <c r="D162" s="17"/>
    </row>
    <row r="163" spans="1:4" ht="15.75" customHeight="1" x14ac:dyDescent="0.25">
      <c r="A163" s="17"/>
      <c r="B163" s="17"/>
      <c r="C163" s="17"/>
      <c r="D163" s="17"/>
    </row>
    <row r="164" spans="1:4" ht="15.75" customHeight="1" x14ac:dyDescent="0.25">
      <c r="A164" s="17"/>
      <c r="B164" s="17"/>
      <c r="C164" s="17"/>
      <c r="D164" s="17"/>
    </row>
    <row r="165" spans="1:4" ht="15.75" customHeight="1" x14ac:dyDescent="0.25">
      <c r="A165" s="17"/>
      <c r="B165" s="17"/>
      <c r="C165" s="17"/>
      <c r="D165" s="17"/>
    </row>
    <row r="166" spans="1:4" ht="15.75" customHeight="1" x14ac:dyDescent="0.25">
      <c r="A166" s="17"/>
      <c r="B166" s="17"/>
      <c r="C166" s="17"/>
      <c r="D166" s="17"/>
    </row>
    <row r="167" spans="1:4" ht="15.75" customHeight="1" x14ac:dyDescent="0.25">
      <c r="A167" s="17"/>
      <c r="B167" s="17"/>
      <c r="C167" s="17"/>
      <c r="D167" s="17"/>
    </row>
    <row r="168" spans="1:4" ht="15.75" customHeight="1" x14ac:dyDescent="0.25">
      <c r="A168" s="17"/>
      <c r="B168" s="17"/>
      <c r="C168" s="17"/>
      <c r="D168" s="17"/>
    </row>
    <row r="169" spans="1:4" ht="15.75" customHeight="1" x14ac:dyDescent="0.25">
      <c r="A169" s="17"/>
      <c r="B169" s="17"/>
      <c r="C169" s="17"/>
      <c r="D169" s="17"/>
    </row>
    <row r="170" spans="1:4" ht="15.75" customHeight="1" x14ac:dyDescent="0.25">
      <c r="A170" s="17"/>
      <c r="B170" s="17"/>
      <c r="C170" s="17"/>
      <c r="D170" s="17"/>
    </row>
    <row r="171" spans="1:4" ht="15.75" customHeight="1" x14ac:dyDescent="0.25">
      <c r="A171" s="17"/>
      <c r="B171" s="17"/>
      <c r="C171" s="17"/>
      <c r="D171" s="17"/>
    </row>
    <row r="172" spans="1:4" ht="15.75" customHeight="1" x14ac:dyDescent="0.25">
      <c r="A172" s="17"/>
      <c r="B172" s="17"/>
      <c r="C172" s="17"/>
      <c r="D172" s="17"/>
    </row>
    <row r="173" spans="1:4" ht="15.75" customHeight="1" x14ac:dyDescent="0.25">
      <c r="A173" s="17"/>
      <c r="B173" s="17"/>
      <c r="C173" s="17"/>
      <c r="D173" s="17"/>
    </row>
    <row r="174" spans="1:4" ht="15.75" customHeight="1" x14ac:dyDescent="0.25">
      <c r="A174" s="17"/>
      <c r="B174" s="17"/>
      <c r="C174" s="17"/>
      <c r="D174" s="17"/>
    </row>
    <row r="175" spans="1:4" ht="15.75" customHeight="1" x14ac:dyDescent="0.25">
      <c r="A175" s="17"/>
      <c r="B175" s="17"/>
      <c r="C175" s="17"/>
      <c r="D175" s="17"/>
    </row>
    <row r="176" spans="1:4" ht="15.75" customHeight="1" x14ac:dyDescent="0.25">
      <c r="A176" s="17"/>
      <c r="B176" s="17"/>
      <c r="C176" s="17"/>
      <c r="D176" s="17"/>
    </row>
    <row r="177" spans="1:4" ht="15.75" customHeight="1" x14ac:dyDescent="0.25">
      <c r="A177" s="17"/>
      <c r="B177" s="17"/>
      <c r="C177" s="17"/>
      <c r="D177" s="17"/>
    </row>
    <row r="178" spans="1:4" ht="15.75" customHeight="1" x14ac:dyDescent="0.25">
      <c r="A178" s="17"/>
      <c r="B178" s="17"/>
      <c r="C178" s="17"/>
      <c r="D178" s="17"/>
    </row>
    <row r="179" spans="1:4" ht="15.75" customHeight="1" x14ac:dyDescent="0.25">
      <c r="A179" s="17"/>
      <c r="B179" s="17"/>
      <c r="C179" s="17"/>
      <c r="D179" s="17"/>
    </row>
    <row r="180" spans="1:4" ht="15.75" customHeight="1" x14ac:dyDescent="0.25">
      <c r="A180" s="17"/>
      <c r="B180" s="17"/>
      <c r="C180" s="17"/>
      <c r="D180" s="17"/>
    </row>
    <row r="181" spans="1:4" ht="15.75" customHeight="1" x14ac:dyDescent="0.25">
      <c r="A181" s="17"/>
      <c r="B181" s="17"/>
      <c r="C181" s="17"/>
      <c r="D181" s="17"/>
    </row>
    <row r="182" spans="1:4" ht="15.75" customHeight="1" x14ac:dyDescent="0.25">
      <c r="A182" s="17"/>
      <c r="B182" s="17"/>
      <c r="C182" s="17"/>
      <c r="D182" s="17"/>
    </row>
    <row r="183" spans="1:4" ht="15.75" customHeight="1" x14ac:dyDescent="0.25">
      <c r="A183" s="17"/>
      <c r="B183" s="17"/>
      <c r="C183" s="17"/>
      <c r="D183" s="17"/>
    </row>
    <row r="184" spans="1:4" ht="15.75" customHeight="1" x14ac:dyDescent="0.25">
      <c r="A184" s="17"/>
      <c r="B184" s="17"/>
      <c r="C184" s="17"/>
      <c r="D184" s="17"/>
    </row>
    <row r="185" spans="1:4" ht="15.75" customHeight="1" x14ac:dyDescent="0.25">
      <c r="A185" s="17"/>
      <c r="B185" s="17"/>
      <c r="C185" s="17"/>
      <c r="D185" s="17"/>
    </row>
    <row r="186" spans="1:4" ht="15.75" customHeight="1" x14ac:dyDescent="0.25">
      <c r="A186" s="17"/>
      <c r="B186" s="17"/>
      <c r="C186" s="17"/>
      <c r="D186" s="17"/>
    </row>
    <row r="187" spans="1:4" ht="15.75" customHeight="1" x14ac:dyDescent="0.25">
      <c r="A187" s="17"/>
      <c r="B187" s="17"/>
      <c r="C187" s="17"/>
      <c r="D187" s="17"/>
    </row>
    <row r="188" spans="1:4" ht="15.75" customHeight="1" x14ac:dyDescent="0.25">
      <c r="A188" s="17"/>
      <c r="B188" s="17"/>
      <c r="C188" s="17"/>
      <c r="D188" s="17"/>
    </row>
    <row r="189" spans="1:4" ht="15.75" customHeight="1" x14ac:dyDescent="0.25">
      <c r="A189" s="17"/>
      <c r="B189" s="17"/>
      <c r="C189" s="17"/>
      <c r="D189" s="17"/>
    </row>
    <row r="190" spans="1:4" ht="15.75" customHeight="1" x14ac:dyDescent="0.25">
      <c r="A190" s="17"/>
      <c r="B190" s="17"/>
      <c r="C190" s="17"/>
      <c r="D190" s="17"/>
    </row>
    <row r="191" spans="1:4" ht="15.75" customHeight="1" x14ac:dyDescent="0.25">
      <c r="A191" s="17"/>
      <c r="B191" s="17"/>
      <c r="C191" s="17"/>
      <c r="D191" s="17"/>
    </row>
    <row r="192" spans="1:4" ht="15.75" customHeight="1" x14ac:dyDescent="0.25">
      <c r="A192" s="17"/>
      <c r="B192" s="17"/>
      <c r="C192" s="17"/>
      <c r="D192" s="17"/>
    </row>
    <row r="193" spans="1:4" ht="15.75" customHeight="1" x14ac:dyDescent="0.25">
      <c r="A193" s="17"/>
      <c r="B193" s="17"/>
      <c r="C193" s="17"/>
      <c r="D193" s="17"/>
    </row>
    <row r="194" spans="1:4" ht="15.75" customHeight="1" x14ac:dyDescent="0.25">
      <c r="A194" s="17"/>
      <c r="B194" s="17"/>
      <c r="C194" s="17"/>
      <c r="D194" s="17"/>
    </row>
    <row r="195" spans="1:4" ht="15.75" customHeight="1" x14ac:dyDescent="0.25">
      <c r="A195" s="17"/>
      <c r="B195" s="17"/>
      <c r="C195" s="17"/>
      <c r="D195" s="17"/>
    </row>
    <row r="196" spans="1:4" ht="15.75" customHeight="1" x14ac:dyDescent="0.25">
      <c r="A196" s="17"/>
      <c r="B196" s="17"/>
      <c r="C196" s="17"/>
      <c r="D196" s="17"/>
    </row>
    <row r="197" spans="1:4" ht="15.75" customHeight="1" x14ac:dyDescent="0.25">
      <c r="A197" s="17"/>
      <c r="B197" s="17"/>
      <c r="C197" s="17"/>
      <c r="D197" s="17"/>
    </row>
    <row r="198" spans="1:4" ht="15.75" customHeight="1" x14ac:dyDescent="0.25">
      <c r="A198" s="17"/>
      <c r="B198" s="17"/>
      <c r="C198" s="17"/>
      <c r="D198" s="17"/>
    </row>
    <row r="199" spans="1:4" ht="15.75" customHeight="1" x14ac:dyDescent="0.25">
      <c r="A199" s="17"/>
      <c r="B199" s="17"/>
      <c r="C199" s="17"/>
      <c r="D199" s="17"/>
    </row>
    <row r="200" spans="1:4" ht="15.75" customHeight="1" x14ac:dyDescent="0.25">
      <c r="A200" s="17"/>
      <c r="B200" s="17"/>
      <c r="C200" s="17"/>
      <c r="D200" s="17"/>
    </row>
    <row r="201" spans="1:4" ht="15.75" customHeight="1" x14ac:dyDescent="0.25">
      <c r="A201" s="17"/>
      <c r="B201" s="17"/>
      <c r="C201" s="17"/>
      <c r="D201" s="17"/>
    </row>
    <row r="202" spans="1:4" ht="15.75" customHeight="1" x14ac:dyDescent="0.25">
      <c r="A202" s="17"/>
      <c r="B202" s="17"/>
      <c r="C202" s="17"/>
      <c r="D202" s="17"/>
    </row>
    <row r="203" spans="1:4" ht="15.75" customHeight="1" x14ac:dyDescent="0.25">
      <c r="A203" s="17"/>
      <c r="B203" s="17"/>
      <c r="C203" s="17"/>
      <c r="D203" s="17"/>
    </row>
    <row r="204" spans="1:4" ht="15.75" customHeight="1" x14ac:dyDescent="0.25">
      <c r="A204" s="17"/>
      <c r="B204" s="17"/>
      <c r="C204" s="17"/>
      <c r="D204" s="17"/>
    </row>
    <row r="205" spans="1:4" ht="15.75" customHeight="1" x14ac:dyDescent="0.25">
      <c r="A205" s="17"/>
      <c r="B205" s="17"/>
      <c r="C205" s="17"/>
      <c r="D205" s="17"/>
    </row>
    <row r="206" spans="1:4" ht="15.75" customHeight="1" x14ac:dyDescent="0.25">
      <c r="A206" s="17"/>
      <c r="B206" s="17"/>
      <c r="C206" s="17"/>
      <c r="D206" s="17"/>
    </row>
    <row r="207" spans="1:4" ht="15.75" customHeight="1" x14ac:dyDescent="0.25">
      <c r="A207" s="17"/>
      <c r="B207" s="17"/>
      <c r="C207" s="17"/>
      <c r="D207" s="17"/>
    </row>
    <row r="208" spans="1:4" ht="15.75" customHeight="1" x14ac:dyDescent="0.25">
      <c r="A208" s="17"/>
      <c r="B208" s="17"/>
      <c r="C208" s="17"/>
      <c r="D208" s="17"/>
    </row>
    <row r="209" spans="1:4" ht="15.75" customHeight="1" x14ac:dyDescent="0.25">
      <c r="A209" s="17"/>
      <c r="B209" s="17"/>
      <c r="C209" s="17"/>
      <c r="D209" s="17"/>
    </row>
    <row r="210" spans="1:4" ht="15.75" customHeight="1" x14ac:dyDescent="0.25">
      <c r="A210" s="17"/>
      <c r="B210" s="17"/>
      <c r="C210" s="17"/>
      <c r="D210" s="17"/>
    </row>
    <row r="211" spans="1:4" ht="15.75" customHeight="1" x14ac:dyDescent="0.25">
      <c r="A211" s="17"/>
      <c r="B211" s="17"/>
      <c r="C211" s="17"/>
      <c r="D211" s="17"/>
    </row>
    <row r="212" spans="1:4" ht="15.75" customHeight="1" x14ac:dyDescent="0.25">
      <c r="A212" s="17"/>
      <c r="B212" s="17"/>
      <c r="C212" s="17"/>
      <c r="D212" s="17"/>
    </row>
    <row r="213" spans="1:4" ht="15.75" customHeight="1" x14ac:dyDescent="0.25">
      <c r="A213" s="17"/>
      <c r="B213" s="17"/>
      <c r="C213" s="17"/>
      <c r="D213" s="17"/>
    </row>
    <row r="214" spans="1:4" ht="15.75" customHeight="1" x14ac:dyDescent="0.25">
      <c r="A214" s="17"/>
      <c r="B214" s="17"/>
      <c r="C214" s="17"/>
      <c r="D214" s="17"/>
    </row>
    <row r="215" spans="1:4" ht="15.75" customHeight="1" x14ac:dyDescent="0.25">
      <c r="A215" s="17"/>
      <c r="B215" s="17"/>
      <c r="C215" s="17"/>
      <c r="D215" s="17"/>
    </row>
    <row r="216" spans="1:4" ht="15.75" customHeight="1" x14ac:dyDescent="0.25">
      <c r="A216" s="17"/>
      <c r="B216" s="17"/>
      <c r="C216" s="17"/>
      <c r="D216" s="17"/>
    </row>
    <row r="217" spans="1:4" ht="15.75" customHeight="1" x14ac:dyDescent="0.25">
      <c r="A217" s="17"/>
      <c r="B217" s="17"/>
      <c r="C217" s="17"/>
      <c r="D217" s="17"/>
    </row>
    <row r="218" spans="1:4" ht="15.75" customHeight="1" x14ac:dyDescent="0.25">
      <c r="A218" s="17"/>
      <c r="B218" s="17"/>
      <c r="C218" s="17"/>
      <c r="D218" s="17"/>
    </row>
    <row r="219" spans="1:4" ht="15.75" customHeight="1" x14ac:dyDescent="0.25">
      <c r="A219" s="17"/>
      <c r="B219" s="17"/>
      <c r="C219" s="17"/>
      <c r="D219" s="17"/>
    </row>
    <row r="220" spans="1:4" ht="15.75" customHeight="1" x14ac:dyDescent="0.25">
      <c r="A220" s="17"/>
      <c r="B220" s="17"/>
      <c r="C220" s="17"/>
      <c r="D220" s="17"/>
    </row>
    <row r="221" spans="1:4" ht="15.75" customHeight="1" x14ac:dyDescent="0.25">
      <c r="A221" s="17"/>
      <c r="B221" s="17"/>
      <c r="C221" s="17"/>
      <c r="D221" s="17"/>
    </row>
    <row r="222" spans="1:4" ht="15.75" customHeight="1" x14ac:dyDescent="0.25">
      <c r="A222" s="17"/>
      <c r="B222" s="17"/>
      <c r="C222" s="17"/>
      <c r="D222" s="17"/>
    </row>
    <row r="223" spans="1:4" ht="15.75" customHeight="1" x14ac:dyDescent="0.25">
      <c r="A223" s="17"/>
      <c r="B223" s="17"/>
      <c r="C223" s="17"/>
      <c r="D223" s="17"/>
    </row>
    <row r="224" spans="1:4" ht="15.75" customHeight="1" x14ac:dyDescent="0.25">
      <c r="A224" s="17"/>
      <c r="B224" s="17"/>
      <c r="C224" s="17"/>
      <c r="D224" s="17"/>
    </row>
    <row r="225" spans="1:4" ht="15.75" customHeight="1" x14ac:dyDescent="0.25">
      <c r="A225" s="17"/>
      <c r="B225" s="17"/>
      <c r="C225" s="17"/>
      <c r="D225" s="17"/>
    </row>
    <row r="226" spans="1:4" ht="15.75" customHeight="1" x14ac:dyDescent="0.25">
      <c r="A226" s="17"/>
      <c r="B226" s="17"/>
      <c r="C226" s="17"/>
      <c r="D226" s="17"/>
    </row>
    <row r="227" spans="1:4" ht="15.75" customHeight="1" x14ac:dyDescent="0.25">
      <c r="A227" s="17"/>
      <c r="B227" s="17"/>
      <c r="C227" s="17"/>
      <c r="D227" s="17"/>
    </row>
    <row r="228" spans="1:4" ht="15.75" customHeight="1" x14ac:dyDescent="0.25">
      <c r="A228" s="17"/>
      <c r="B228" s="17"/>
      <c r="C228" s="17"/>
      <c r="D228" s="17"/>
    </row>
    <row r="229" spans="1:4" ht="15.75" customHeight="1" x14ac:dyDescent="0.25">
      <c r="A229" s="17"/>
      <c r="B229" s="17"/>
      <c r="C229" s="17"/>
      <c r="D229" s="17"/>
    </row>
    <row r="230" spans="1:4" ht="15.75" customHeight="1" x14ac:dyDescent="0.25">
      <c r="A230" s="17"/>
      <c r="B230" s="17"/>
      <c r="C230" s="17"/>
      <c r="D230" s="17"/>
    </row>
    <row r="231" spans="1:4" ht="15.75" customHeight="1" x14ac:dyDescent="0.25">
      <c r="A231" s="17"/>
      <c r="B231" s="17"/>
      <c r="C231" s="17"/>
      <c r="D231" s="17"/>
    </row>
    <row r="232" spans="1:4" ht="15.75" customHeight="1" x14ac:dyDescent="0.25">
      <c r="A232" s="17"/>
      <c r="B232" s="17"/>
      <c r="C232" s="17"/>
      <c r="D232" s="17"/>
    </row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2:G12"/>
    <mergeCell ref="A28:G28"/>
  </mergeCells>
  <dataValidations count="1">
    <dataValidation type="list" allowBlank="1" showErrorMessage="1" sqref="F14:F25 F30:F40" xr:uid="{00000000-0002-0000-0400-000000000000}">
      <formula1>"Avoid,Mitigate,Accept"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Release#5</vt:lpstr>
      <vt:lpstr>Release#4</vt:lpstr>
      <vt:lpstr>Release#3</vt:lpstr>
      <vt:lpstr>Release#2</vt:lpstr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mahmoud elgohary</cp:lastModifiedBy>
  <dcterms:created xsi:type="dcterms:W3CDTF">2026-04-25T10:18:27Z</dcterms:created>
  <dcterms:modified xsi:type="dcterms:W3CDTF">2026-05-15T21:45:12Z</dcterms:modified>
</cp:coreProperties>
</file>